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Overview" sheetId="1" r:id="rId5"/>
    <sheet state="visible" name="Enterprise Model" sheetId="2" r:id="rId6"/>
    <sheet state="visible" name="Greenfield Model" sheetId="3" r:id="rId7"/>
    <sheet state="visible" name="Lead Pipeline Scenario" sheetId="4" r:id="rId8"/>
    <sheet state="visible" name="Combined Scenarios" sheetId="5" r:id="rId9"/>
  </sheets>
  <definedNames/>
  <calcPr/>
</workbook>
</file>

<file path=xl/sharedStrings.xml><?xml version="1.0" encoding="utf-8"?>
<sst xmlns="http://schemas.openxmlformats.org/spreadsheetml/2006/main" count="601" uniqueCount="410">
  <si>
    <t>LUPE ANALYTICS — PRICING MODEL (Enterprise + Greenfield)</t>
  </si>
  <si>
    <t>Two tracks targeting different client profiles. Both can run in parallel. All blue cells are adjustable inputs.</t>
  </si>
  <si>
    <t>ENTERPRISE</t>
  </si>
  <si>
    <t>GREENFIELD</t>
  </si>
  <si>
    <t>Dimension</t>
  </si>
  <si>
    <t>Who</t>
  </si>
  <si>
    <t>What they pay</t>
  </si>
  <si>
    <t>Target client</t>
  </si>
  <si>
    <t>Data-mature studio, existing team</t>
  </si>
  <si>
    <t>Base + % of ad spend</t>
  </si>
  <si>
    <t>No analytics engineer or analyst</t>
  </si>
  <si>
    <t>Flat monthly + one-time setup</t>
  </si>
  <si>
    <t>Ad spend range</t>
  </si>
  <si>
    <t>€300K–€10M+/month</t>
  </si>
  <si>
    <t>Scales with spend</t>
  </si>
  <si>
    <t>€30K–€2M/month</t>
  </si>
  <si>
    <t>Fixed tier regardless of spend</t>
  </si>
  <si>
    <t>Setup fee</t>
  </si>
  <si>
    <t>None no barrier to trial</t>
  </si>
  <si>
    <t>€8K–€15K one-time Data Foundation</t>
  </si>
  <si>
    <t>Free trial</t>
  </si>
  <si>
    <t>30-day full pilot, real data</t>
  </si>
  <si>
    <t>14-day scoped proof-of-value</t>
  </si>
  <si>
    <t>Monthly range</t>
  </si>
  <si>
    <t>€1,500–€30,000</t>
  </si>
  <si>
    <t>€2,500–€5,000</t>
  </si>
  <si>
    <t>Predictable flat fee</t>
  </si>
  <si>
    <t>Min commitment</t>
  </si>
  <si>
    <t>12 months</t>
  </si>
  <si>
    <t>Key value prop</t>
  </si>
  <si>
    <t>Replaces analytics engineer cost</t>
  </si>
  <si>
    <t>Full team replacement in one product</t>
  </si>
  <si>
    <t>Churn risk</t>
  </si>
  <si>
    <t>Low - data model ownership stays with Lupe</t>
  </si>
  <si>
    <t>Low - no alternative team in place</t>
  </si>
  <si>
    <t xml:space="preserve">  ILLUSTRATIVE MONTHLY REVENUE PER CLIENT</t>
  </si>
  <si>
    <t>Client</t>
  </si>
  <si>
    <t>Monthly Spend</t>
  </si>
  <si>
    <t>Enterprise Rev</t>
  </si>
  <si>
    <t>Greenfield Rev</t>
  </si>
  <si>
    <t>Notes</t>
  </si>
  <si>
    <t>Small studio</t>
  </si>
  <si>
    <t>€150K</t>
  </si>
  <si>
    <t>€1,500 (base only)</t>
  </si>
  <si>
    <t>€2,500 + €8K setup</t>
  </si>
  <si>
    <t>Below spend threshold</t>
  </si>
  <si>
    <t>Mid studio</t>
  </si>
  <si>
    <t>€500K</t>
  </si>
  <si>
    <t>€1,500 + €7,500 = €9,000</t>
  </si>
  <si>
    <t>€3,500 + €10K setup</t>
  </si>
  <si>
    <t>1% × €500K</t>
  </si>
  <si>
    <t>Growth studio</t>
  </si>
  <si>
    <t>€1.5M</t>
  </si>
  <si>
    <t>€1,500 + €15,000 = €16,500</t>
  </si>
  <si>
    <t>€5,000</t>
  </si>
  <si>
    <t>0.75% × €1.5M</t>
  </si>
  <si>
    <t>Large studio</t>
  </si>
  <si>
    <t>€4M</t>
  </si>
  <si>
    <t>€1,500 + €23,500 = €25,000</t>
  </si>
  <si>
    <t>Custom</t>
  </si>
  <si>
    <t>0.5% × €4M</t>
  </si>
  <si>
    <t>Very large studio</t>
  </si>
  <si>
    <t>€10M</t>
  </si>
  <si>
    <t>€1,500 + €30,000 = €31,500</t>
  </si>
  <si>
    <t>0.5% × €10M</t>
  </si>
  <si>
    <t>ENTERPRISE — Model C (Base + % of Managed Ad Spend)</t>
  </si>
  <si>
    <t>Target: Data-mature studios ≥€300K monthly ad spend. No setup fee. 30-day free pilot on real data.</t>
  </si>
  <si>
    <t xml:space="preserve">  PRICING ASSUMPTIONS — adjust blue cells</t>
  </si>
  <si>
    <t>Base monthly subscription fee (€)</t>
  </si>
  <si>
    <t>All tiers — covers platform access</t>
  </si>
  <si>
    <t>Spend threshold — % fee activates (€/mo)</t>
  </si>
  <si>
    <t>Below this: base fee only</t>
  </si>
  <si>
    <t>% fee — Tier 1 (€300K–€1M spend)</t>
  </si>
  <si>
    <t>% fee — Tier 2 (€1M–€3M spend)</t>
  </si>
  <si>
    <t>% fee — Tier 3 (&gt;€3M spend)</t>
  </si>
  <si>
    <t>Tier 1 upper bound (€/mo)</t>
  </si>
  <si>
    <t>Tier 2 upper bound (€/mo)</t>
  </si>
  <si>
    <t>Monthly revenue cap per client (€)</t>
  </si>
  <si>
    <t>Negotiated ceiling for large studios</t>
  </si>
  <si>
    <t>Free pilot duration (days)</t>
  </si>
  <si>
    <t>Full access on client's real data</t>
  </si>
  <si>
    <t>Minimum contract months</t>
  </si>
  <si>
    <t xml:space="preserve">  CLIENT REVENUE CALCULATOR — monthly fee by spend volume</t>
  </si>
  <si>
    <t>Client Profile</t>
  </si>
  <si>
    <t>Monthly Ad Spend (€)</t>
  </si>
  <si>
    <t>Tier</t>
  </si>
  <si>
    <t>% Fee</t>
  </si>
  <si>
    <t>Spend Fee (€)</t>
  </si>
  <si>
    <t>Base Fee (€)</t>
  </si>
  <si>
    <t>Total Monthly (€)</t>
  </si>
  <si>
    <t>Annual Value (€)</t>
  </si>
  <si>
    <t>Below-threshold</t>
  </si>
  <si>
    <t>Threshold entry</t>
  </si>
  <si>
    <t>Mid studio A</t>
  </si>
  <si>
    <t>Mid studio B</t>
  </si>
  <si>
    <t>Growth studio A</t>
  </si>
  <si>
    <t>Growth studio B</t>
  </si>
  <si>
    <t>Growth studio C</t>
  </si>
  <si>
    <t>Large studio A</t>
  </si>
  <si>
    <t>Large studio B</t>
  </si>
  <si>
    <t xml:space="preserve">  CLIENT MIX NEEDED TO HIT MRR TARGETS — adjust client counts</t>
  </si>
  <si>
    <t>Scenario</t>
  </si>
  <si>
    <t>Small
(€1.5K/mo)</t>
  </si>
  <si>
    <t>Mid
(€9K/mo)</t>
  </si>
  <si>
    <t>Growth
(€16.5K/mo)</t>
  </si>
  <si>
    <t>Large
(€31.5K/mo)</t>
  </si>
  <si>
    <t>Total Clients</t>
  </si>
  <si>
    <t>Estimated MRR (€)</t>
  </si>
  <si>
    <t>M3 — €12K target</t>
  </si>
  <si>
    <t>M6 — €20K target</t>
  </si>
  <si>
    <t>M9 — €30K target</t>
  </si>
  <si>
    <t>M12 — €48K target</t>
  </si>
  <si>
    <t>M18 — €72K target</t>
  </si>
  <si>
    <t>€120K MRR</t>
  </si>
  <si>
    <t>GREENFIELD — Full-Service (No Analytics Engineer or Analyst In-House)</t>
  </si>
  <si>
    <t>Target: Studios with NO data team. Lupe replaces analytics engineer + marketing analyst. Setup fee + flat monthly.</t>
  </si>
  <si>
    <t xml:space="preserve">  WHAT LUPE REPLACES — vs. Hiring In-House</t>
  </si>
  <si>
    <t>What client needs</t>
  </si>
  <si>
    <t>Lupe delivers</t>
  </si>
  <si>
    <t>Hiring in-house costs</t>
  </si>
  <si>
    <t>Lupe price</t>
  </si>
  <si>
    <t>Client saving (year 1)</t>
  </si>
  <si>
    <t>Analytics engineer</t>
  </si>
  <si>
    <t>Data Foundation: warehouse analysis, attribution, revenue/spend models, LTV/ROAS forecasts — delivered in 4–6 weeks by agents</t>
  </si>
  <si>
    <t>€80–120K/yr salary + 3–6 month hire + setup time</t>
  </si>
  <si>
    <t>Included in setup fee</t>
  </si>
  <si>
    <t>€70K+ saved</t>
  </si>
  <si>
    <t>Marketing analyst</t>
  </si>
  <si>
    <t>AI reports, explain feature, alerting, dashboards, Slack bot, AI assistant — ongoing</t>
  </si>
  <si>
    <t>€60–80K/yr salary + tooling</t>
  </si>
  <si>
    <t>Included in monthly</t>
  </si>
  <si>
    <t>€55K+ saved</t>
  </si>
  <si>
    <t>UA Manager</t>
  </si>
  <si>
    <t>Optimization of UA strategy with an action plan and automation</t>
  </si>
  <si>
    <t>€60–80K/yr salary</t>
  </si>
  <si>
    <t>Industry knowledge</t>
  </si>
  <si>
    <t>Attribution, allocation, forecasting built on mobile gaming expertise from day 1</t>
  </si>
  <si>
    <t>12–18 months for new hire to reach same depth</t>
  </si>
  <si>
    <t>Immediate</t>
  </si>
  <si>
    <t>Competitive advantage</t>
  </si>
  <si>
    <t>Time to value</t>
  </si>
  <si>
    <t>4–6 weeks from contract to live insights</t>
  </si>
  <si>
    <t>6–12 months for team + setup</t>
  </si>
  <si>
    <t>Fast</t>
  </si>
  <si>
    <t>Faster decisions</t>
  </si>
  <si>
    <t>Setup fee — Starter (€)</t>
  </si>
  <si>
    <t>No/messy data stack — most work for agents</t>
  </si>
  <si>
    <t>Setup fee — Growth (€)</t>
  </si>
  <si>
    <t>Partial data stack — faster setup</t>
  </si>
  <si>
    <t>Setup fee — Scale (€)</t>
  </si>
  <si>
    <t>Absorbed into higher monthly fee</t>
  </si>
  <si>
    <t>Monthly fee — Starter (€)</t>
  </si>
  <si>
    <t>&lt;€500K ad spend, no data team</t>
  </si>
  <si>
    <t>Monthly fee — Growth (€)</t>
  </si>
  <si>
    <t>€500K–€2M spend, partial team</t>
  </si>
  <si>
    <t>Monthly fee — Scale (€)</t>
  </si>
  <si>
    <t>&gt;€2M spend, growing studio</t>
  </si>
  <si>
    <t>Scoped pilot (days)</t>
  </si>
  <si>
    <t>Focused proof-of-value on 1 use case</t>
  </si>
  <si>
    <t>Min contract months</t>
  </si>
  <si>
    <t xml:space="preserve">  UNIT ECONOMICS PER CLIENT</t>
  </si>
  <si>
    <t>Metric</t>
  </si>
  <si>
    <t>Starter</t>
  </si>
  <si>
    <t>Growth</t>
  </si>
  <si>
    <t>Scale</t>
  </si>
  <si>
    <t>Setup fee — one-time (€)</t>
  </si>
  <si>
    <t>Monthly platform fee (€)</t>
  </si>
  <si>
    <t>Month 1 total revenue (€)</t>
  </si>
  <si>
    <t>12-month contract value (€)</t>
  </si>
  <si>
    <t>Client saves vs hiring (yr1, €)</t>
  </si>
  <si>
    <t>ROI multiple for client</t>
  </si>
  <si>
    <t xml:space="preserve">  MRR BUILD — Greenfield client mix needed</t>
  </si>
  <si>
    <t>MRR Target</t>
  </si>
  <si>
    <t>Starter clients</t>
  </si>
  <si>
    <t>Growth clients</t>
  </si>
  <si>
    <t>Scale clients</t>
  </si>
  <si>
    <t>Total clients</t>
  </si>
  <si>
    <t>Platform MRR (€)</t>
  </si>
  <si>
    <t>+ Setup revenue (€)</t>
  </si>
  <si>
    <t>M3 — €12K</t>
  </si>
  <si>
    <t>M6 — €20K</t>
  </si>
  <si>
    <t>M9 — €30K</t>
  </si>
  <si>
    <t>M12 — €48K</t>
  </si>
  <si>
    <t>M18 — €72K</t>
  </si>
  <si>
    <t>Note: Setup revenue (yellow) is one-time per client. Platform MRR (green) is the recurring number. Setup column shows cumulative if all clients onboarded at once — adjust per quarter.</t>
  </si>
  <si>
    <t>LEAD PIPELINE SCENARIOS — Based on Researched Leads</t>
  </si>
  <si>
    <t>Maps 35 researched leads (20 enriched + 15 new DACH) to Lupe pricing tiers. Revenue uses representative fees from Combined Scenarios tab.</t>
  </si>
  <si>
    <t>LEAD CLASSIFICATION — All Researched Leads Mapped to Pricing Tiers</t>
  </si>
  <si>
    <t>Company</t>
  </si>
  <si>
    <t>Source</t>
  </si>
  <si>
    <t>Industry</t>
  </si>
  <si>
    <t>Est. Revenue</t>
  </si>
  <si>
    <t>Model</t>
  </si>
  <si>
    <t>Est. Monthly
 Ad Spend (€)</t>
  </si>
  <si>
    <t>Monthly
 Lupe Rev (€)</t>
  </si>
  <si>
    <t>Priority</t>
  </si>
  <si>
    <t>Rationale / Fit</t>
  </si>
  <si>
    <t>12-Mo
 Value (€)</t>
  </si>
  <si>
    <t>Delivery Hero</t>
  </si>
  <si>
    <t>Enriched</t>
  </si>
  <si>
    <t>Food Delivery</t>
  </si>
  <si>
    <t>~€13B</t>
  </si>
  <si>
    <t>Enterprise</t>
  </si>
  <si>
    <t>Large</t>
  </si>
  <si>
    <t>high</t>
  </si>
  <si>
    <t>€1.8B marketing budget; Adjust user; 600+ data team</t>
  </si>
  <si>
    <t>Bolt</t>
  </si>
  <si>
    <t>Mobility</t>
  </si>
  <si>
    <t>~€4B</t>
  </si>
  <si>
    <t>200M+ users; 600+ data team; massive UA</t>
  </si>
  <si>
    <t>GetYourGuide</t>
  </si>
  <si>
    <t>Travel</t>
  </si>
  <si>
    <t>~€1B</t>
  </si>
  <si>
    <t>medium</t>
  </si>
  <si>
    <t>Series F; 240-370 tech; scaling analytics org</t>
  </si>
  <si>
    <t>Stilfront Group</t>
  </si>
  <si>
    <t>Mobile Gaming</t>
  </si>
  <si>
    <t>~€530M</t>
  </si>
  <si>
    <t>Public; centralized UA; AI-driven creative optimization</t>
  </si>
  <si>
    <t>InnoGames</t>
  </si>
  <si>
    <t>~€220M</t>
  </si>
  <si>
    <t>Chief Analytics Officer; billions of daily events</t>
  </si>
  <si>
    <t>Trivago</t>
  </si>
  <si>
    <t>~€560M</t>
  </si>
  <si>
    <t>Public; ELK/Kafka infra; 27% YoY growth</t>
  </si>
  <si>
    <t>Kolibri Games</t>
  </si>
  <si>
    <t>~€145M</t>
  </si>
  <si>
    <t>Ubisoft-owned; dbt+Looker stack; 250M+ downloads</t>
  </si>
  <si>
    <t>Scalable Capital</t>
  </si>
  <si>
    <t>Fintech</t>
  </si>
  <si>
    <t>~€140M</t>
  </si>
  <si>
    <t>Mid</t>
  </si>
  <si>
    <t>AWS data pipelines; analytics engineering team</t>
  </si>
  <si>
    <t>Taxfix</t>
  </si>
  <si>
    <t>€55.9M</t>
  </si>
  <si>
    <t>Adjust+Segment+Snowflake; hiring analytics engineers</t>
  </si>
  <si>
    <t>Storytel</t>
  </si>
  <si>
    <t>Audiobooks</t>
  </si>
  <si>
    <t>~€370M</t>
  </si>
  <si>
    <t>GCP/BigQuery/dbt stack; 41M+ downloads</t>
  </si>
  <si>
    <t>Parship</t>
  </si>
  <si>
    <t>Dating</t>
  </si>
  <si>
    <t>€434M</t>
  </si>
  <si>
    <t>MMP user (likely Adjust); Senior Marketing Analyst</t>
  </si>
  <si>
    <t>SOFTGAMES</t>
  </si>
  <si>
    <t>~€28M</t>
  </si>
  <si>
    <t>Small</t>
  </si>
  <si>
    <t>Marketing Analyst builds LTV models; Adjust+AppsFlyer</t>
  </si>
  <si>
    <t>Blinkist</t>
  </si>
  <si>
    <t>EdTech</t>
  </si>
  <si>
    <t>~€15M</t>
  </si>
  <si>
    <t>70% ad spend web-to-app; Amplitude+Redshift</t>
  </si>
  <si>
    <t>Sunday Natural</t>
  </si>
  <si>
    <t>DTC Ecommerce</t>
  </si>
  <si>
    <t>~€100M</t>
  </si>
  <si>
    <t>Greenfield</t>
  </si>
  <si>
    <t>low</t>
  </si>
  <si>
    <t>Building data team of 10+; primarily web DTC</t>
  </si>
  <si>
    <t>Clue</t>
  </si>
  <si>
    <t>FemTech</t>
  </si>
  <si>
    <t>~€5M</t>
  </si>
  <si>
    <t>100M+ downloads; 20-30 tech; privacy-compliant</t>
  </si>
  <si>
    <t>Freeletics</t>
  </si>
  <si>
    <t>Fitness</t>
  </si>
  <si>
    <t>~€32M</t>
  </si>
  <si>
    <t>10 engineers; hiring Lead Data Engineer</t>
  </si>
  <si>
    <t>Starberry Games</t>
  </si>
  <si>
    <t>~€7M</t>
  </si>
  <si>
    <t>AppsFlyer customer; D30 revenue targeting</t>
  </si>
  <si>
    <t>Zasta</t>
  </si>
  <si>
    <t>~€3M</t>
  </si>
  <si>
    <t>Building analytics on Databricks from scratch</t>
  </si>
  <si>
    <t>Tangelo Games</t>
  </si>
  <si>
    <t>Casino Gaming</t>
  </si>
  <si>
    <t>~€24M</t>
  </si>
  <si>
    <t>AppsFlyer customer; CTO open = greenfield opp</t>
  </si>
  <si>
    <t>Crimson Pine Games</t>
  </si>
  <si>
    <t>~€4M</t>
  </si>
  <si>
    <t>Custom ad mediation; organic focus; small scale</t>
  </si>
  <si>
    <t>N26</t>
  </si>
  <si>
    <t>New DACH</t>
  </si>
  <si>
    <t>€440M</t>
  </si>
  <si>
    <t>Europe's largest neobank; massive mobile-first UA</t>
  </si>
  <si>
    <t>FlixBus / Flix</t>
  </si>
  <si>
    <t>N/A</t>
  </si>
  <si>
    <t>€150M+ marketing spend; geo-localized mobile campaigns</t>
  </si>
  <si>
    <t>Zalando</t>
  </si>
  <si>
    <t>E-commerce</t>
  </si>
  <si>
    <t>€10B+</t>
  </si>
  <si>
    <t>52.4M active customers; AI personalization</t>
  </si>
  <si>
    <t>Goodgame Studios</t>
  </si>
  <si>
    <t>€1B+ lifetime</t>
  </si>
  <si>
    <t>Stillfront subsidiary; 500M+ installs</t>
  </si>
  <si>
    <t>Popcore Games</t>
  </si>
  <si>
    <t>$100M+</t>
  </si>
  <si>
    <t>Zynga/Rollic; 500M+ downloads; Top 10 US</t>
  </si>
  <si>
    <t>Trade Republic</t>
  </si>
  <si>
    <t>8M customers; fastest-growing EU broker</t>
  </si>
  <si>
    <t>Lieferando</t>
  </si>
  <si>
    <t>11-12M MAU; hyper-local UA campaigns</t>
  </si>
  <si>
    <t>LOVOO</t>
  </si>
  <si>
    <t>79M downloads; 48% subscription, 24% IAP</t>
  </si>
  <si>
    <t>Sunday.gg</t>
  </si>
  <si>
    <t>~€50M+</t>
  </si>
  <si>
    <t>247M downloads; 100% ad-monetized; full UA platform</t>
  </si>
  <si>
    <t>Deca Games</t>
  </si>
  <si>
    <t>$200M+</t>
  </si>
  <si>
    <t>324M downloads; F2P live-ops specialist</t>
  </si>
  <si>
    <t>Lotum</t>
  </si>
  <si>
    <t>215M+ downloads; self-funded; sophisticated UA</t>
  </si>
  <si>
    <t>Rebuy</t>
  </si>
  <si>
    <t>Recommerce</t>
  </si>
  <si>
    <t>€220M+</t>
  </si>
  <si>
    <t>Mobile-first; heavy UA campaigns</t>
  </si>
  <si>
    <t>Vivid Money</t>
  </si>
  <si>
    <t>Financial super-app; mobile-first approach</t>
  </si>
  <si>
    <t>Gameforge</t>
  </si>
  <si>
    <t>~€75M</t>
  </si>
  <si>
    <t>300+ employees; multiple successful titles</t>
  </si>
  <si>
    <t>Immowelt</t>
  </si>
  <si>
    <t>Real Estate</t>
  </si>
  <si>
    <t>10M+ downloads; in-app purchase model</t>
  </si>
  <si>
    <t>TOTAL PIPELINE</t>
  </si>
  <si>
    <t>SEGMENT SUMMARY — Lead Counts &amp; Revenue by Pricing Tier</t>
  </si>
  <si>
    <t>Segment</t>
  </si>
  <si>
    <t># Leads</t>
  </si>
  <si>
    <t>Monthly Rev
 per Client (€)</t>
  </si>
  <si>
    <t>Total Segment
 MRR if all won (€)</t>
  </si>
  <si>
    <t>High Priority
 Leads</t>
  </si>
  <si>
    <t>Companies (High Priority)</t>
  </si>
  <si>
    <t>Enterprise Small</t>
  </si>
  <si>
    <t>SOFTGAMES, Blinkist</t>
  </si>
  <si>
    <t>Enterprise Mid</t>
  </si>
  <si>
    <t>Enterprise Growth</t>
  </si>
  <si>
    <t>InnoGames, Kolibri, Goodgame, Popcore, Trade Republic</t>
  </si>
  <si>
    <t>Enterprise Large</t>
  </si>
  <si>
    <t>Delivery Hero, Bolt, Stilfront, N26, FlixBus</t>
  </si>
  <si>
    <t>Greenfield Starter</t>
  </si>
  <si>
    <t>Greenfield Growth</t>
  </si>
  <si>
    <t>LOVOO, Sunday.gg, Deca, Lotum</t>
  </si>
  <si>
    <t>Greenfield Scale</t>
  </si>
  <si>
    <t>—</t>
  </si>
  <si>
    <t>TOTAL</t>
  </si>
  <si>
    <t>CONVERSION SCENARIOS — MRR by Win Rate Across Pipeline</t>
  </si>
  <si>
    <t>Win Rate</t>
  </si>
  <si>
    <t>Ent
 Small</t>
  </si>
  <si>
    <t>Ent
 Mid</t>
  </si>
  <si>
    <t>Ent
 Growth</t>
  </si>
  <si>
    <t>Ent
 Large</t>
  </si>
  <si>
    <t>GF
 Starter</t>
  </si>
  <si>
    <t>GF
 Growth</t>
  </si>
  <si>
    <t>GF
 Scale</t>
  </si>
  <si>
    <t>Total
 Clients</t>
  </si>
  <si>
    <t>Platform
 MRR (€)</t>
  </si>
  <si>
    <t>Conservative</t>
  </si>
  <si>
    <t>Base Case</t>
  </si>
  <si>
    <t>Optimistic</t>
  </si>
  <si>
    <t>High Priority Only</t>
  </si>
  <si>
    <t>~50% of high</t>
  </si>
  <si>
    <t>Full Pipeline Won</t>
  </si>
  <si>
    <t>PHASED RAMP — Realistic Onboarding Timeline with Named Leads</t>
  </si>
  <si>
    <t>Phase</t>
  </si>
  <si>
    <t>Timeline</t>
  </si>
  <si>
    <t>Quick Wins</t>
  </si>
  <si>
    <t>M1-M3</t>
  </si>
  <si>
    <t>Early Traction</t>
  </si>
  <si>
    <t>M4-M6</t>
  </si>
  <si>
    <t>Growth Phase</t>
  </si>
  <si>
    <t>M7-M9</t>
  </si>
  <si>
    <t>Scale Phase</t>
  </si>
  <si>
    <t>M10-M12</t>
  </si>
  <si>
    <t>Expansion</t>
  </si>
  <si>
    <t>M13-M18</t>
  </si>
  <si>
    <t>Counts are cumulative. Blue cells are adjustable. Phased ramp assumes high-priority leads close first. Greenfield clients also generate one-time setup fees (€8K-€12K) not shown in MRR.</t>
  </si>
  <si>
    <t>COMBINED REVENUE SCENARIOS — Enterprise + Greenfield</t>
  </si>
  <si>
    <t>Adjust blue client counts. Revenue uses representative fees shown below. Both models run simultaneously.</t>
  </si>
  <si>
    <t xml:space="preserve">  REPRESENTATIVE MONTHLY FEES USED (from model sheets — adjust there)</t>
  </si>
  <si>
    <t>Monthly Rev</t>
  </si>
  <si>
    <t>Basis</t>
  </si>
  <si>
    <t>Enterprise — Small (&lt;€300K spend)</t>
  </si>
  <si>
    <t>€1,500</t>
  </si>
  <si>
    <t>Base fee only</t>
  </si>
  <si>
    <t>Enterprise — Mid (€500K spend)</t>
  </si>
  <si>
    <t>€9,000</t>
  </si>
  <si>
    <t>€1.5K + 1.5% × €500K</t>
  </si>
  <si>
    <t>Enterprise — Growth (€1.5M spend)</t>
  </si>
  <si>
    <t>€16,500</t>
  </si>
  <si>
    <t>€1.5K + 1.0% × €1.5M</t>
  </si>
  <si>
    <t>Enterprise — Large (€3M+ spend)</t>
  </si>
  <si>
    <t>€31,500</t>
  </si>
  <si>
    <t>€1.5K + 0.75% × €3M</t>
  </si>
  <si>
    <t>Greenfield — Starter</t>
  </si>
  <si>
    <t>€2,500</t>
  </si>
  <si>
    <t>Flat monthly (ex setup)</t>
  </si>
  <si>
    <t>Greenfield — Growth</t>
  </si>
  <si>
    <t>€3,500</t>
  </si>
  <si>
    <t>Greenfield — Scale</t>
  </si>
  <si>
    <t xml:space="preserve">  COMBINED MRR SCENARIOS — adjust client counts in blue</t>
  </si>
  <si>
    <t>Ent
Small</t>
  </si>
  <si>
    <t>Ent
Mid</t>
  </si>
  <si>
    <t>Ent
Growth</t>
  </si>
  <si>
    <t>Ent
Large</t>
  </si>
  <si>
    <t>GF
Starter</t>
  </si>
  <si>
    <t>GF
Growth</t>
  </si>
  <si>
    <t>GF
Scale</t>
  </si>
  <si>
    <t>Total
Clients</t>
  </si>
  <si>
    <t>Platform
MRR (€)</t>
  </si>
  <si>
    <t>Ent only
MRR (€)</t>
  </si>
  <si>
    <t>€100K MRR</t>
  </si>
  <si>
    <t>€150K MRR (Scale)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</si>
</sst>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\(#,##0\);\-"/>
    <numFmt numFmtId="165" formatCode="0;\(0\);\-"/>
    <numFmt numFmtId="166" formatCode="0.00%;\(0.00%\);\-"/>
    <numFmt numFmtId="167" formatCode="0.0\x"/>
    <numFmt numFmtId="168" formatCode="&quot;€&quot;#,##0"/>
  </numFmts>
  <fonts count="23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555555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0.0"/>
      <color rgb="FFFFFFFF"/>
      <name val="Arial"/>
    </font>
    <font>
      <i/>
      <sz val="8.0"/>
      <color rgb="FFCC0000"/>
      <name val="Arial"/>
    </font>
    <font>
      <sz val="9.0"/>
      <color rgb="FF000000"/>
      <name val="Arial"/>
    </font>
    <font>
      <sz val="9.0"/>
      <color rgb="FF0000FF"/>
      <name val="Arial"/>
    </font>
    <font>
      <sz val="8.0"/>
      <color rgb="FF777777"/>
      <name val="Arial"/>
    </font>
    <font>
      <b/>
      <sz val="9.0"/>
      <color rgb="FF000000"/>
      <name val="Arial"/>
    </font>
    <font>
      <sz val="8.0"/>
      <color rgb="FF888888"/>
      <name val="Arial"/>
    </font>
    <font>
      <color theme="1"/>
      <name val="Calibri"/>
      <scheme val="minor"/>
    </font>
    <font>
      <i/>
      <sz val="8.0"/>
      <color rgb="FF555555"/>
      <name val="Arial"/>
    </font>
    <font>
      <sz val="14.0"/>
      <color rgb="FFFFFFFF"/>
      <name val="Arial"/>
    </font>
    <font>
      <sz val="8.0"/>
      <color rgb="FF535353"/>
      <name val="Arial"/>
    </font>
    <font>
      <sz val="8.0"/>
      <color rgb="FFFFFFFF"/>
      <name val="Arial"/>
    </font>
    <font>
      <sz val="8.0"/>
      <color rgb="FF000000"/>
      <name val="Arial"/>
    </font>
    <font>
      <sz val="8.0"/>
      <color theme="1"/>
      <name val="Arial"/>
    </font>
    <font>
      <sz val="8.0"/>
      <color rgb="FF0000FF"/>
      <name val="Arial"/>
    </font>
    <font>
      <sz val="8.0"/>
      <color rgb="FF555555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E5FA3"/>
        <bgColor rgb="FF2E5FA3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244084"/>
        <bgColor rgb="FF244084"/>
      </patternFill>
    </fill>
    <fill>
      <patternFill patternType="solid">
        <fgColor rgb="FFFFFFFF"/>
        <bgColor rgb="FFFFFFFF"/>
      </patternFill>
    </fill>
    <fill>
      <patternFill patternType="solid">
        <fgColor rgb="FFCDDDEC"/>
        <bgColor rgb="FFCDDDEC"/>
      </patternFill>
    </fill>
    <fill>
      <patternFill patternType="solid">
        <fgColor rgb="FF355BB7"/>
        <bgColor rgb="FF355BB7"/>
      </patternFill>
    </fill>
    <fill>
      <patternFill patternType="solid">
        <fgColor rgb="FFDBECD1"/>
        <bgColor rgb="FFDBECD1"/>
      </patternFill>
    </fill>
    <fill>
      <patternFill patternType="solid">
        <fgColor rgb="FFFBDDCD"/>
        <bgColor rgb="FFFBDDCD"/>
      </patternFill>
    </fill>
    <fill>
      <patternFill patternType="solid">
        <fgColor rgb="FFD0DAF0"/>
        <bgColor rgb="FFD0DAF0"/>
      </patternFill>
    </fill>
    <fill>
      <patternFill patternType="solid">
        <fgColor rgb="FFD5E6F5"/>
        <bgColor rgb="FFD5E6F5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A5B9E1"/>
      </bottom>
    </border>
    <border>
      <top style="thin">
        <color rgb="FF000000"/>
      </top>
      <bottom style="thin">
        <color rgb="FFA5B9E1"/>
      </bottom>
    </border>
    <border>
      <right style="thin">
        <color rgb="FF9A9A9A"/>
      </right>
      <top style="thin">
        <color rgb="FF000000"/>
      </top>
      <bottom style="thin">
        <color rgb="FFA5B9E1"/>
      </bottom>
    </border>
    <border>
      <left style="thin">
        <color rgb="FFA5B9E1"/>
      </left>
      <right style="thin">
        <color rgb="FFA5B9E1"/>
      </right>
      <top style="thin">
        <color rgb="FFA5B9E1"/>
      </top>
      <bottom style="thin">
        <color rgb="FFA5B9E1"/>
      </bottom>
    </border>
    <border>
      <left style="thin">
        <color rgb="FFA5B9E1"/>
      </left>
      <right style="thin">
        <color rgb="FFA5B9E1"/>
      </right>
      <top style="thin">
        <color rgb="FFA5B9E1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A5B9E1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A5B9E1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A5B9E1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top style="thin">
        <color rgb="FFA5B9E1"/>
      </top>
      <bottom style="thin">
        <color rgb="FF9A9A9A"/>
      </bottom>
    </border>
    <border>
      <top style="thin">
        <color rgb="FFA5B9E1"/>
      </top>
      <bottom style="thin">
        <color rgb="FF9A9A9A"/>
      </bottom>
    </border>
    <border>
      <right style="thin">
        <color rgb="FF9A9A9A"/>
      </right>
      <top style="thin">
        <color rgb="FFA5B9E1"/>
      </top>
      <bottom style="thin">
        <color rgb="FF9A9A9A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4" fillId="6" fontId="10" numFmtId="164" xfId="0" applyAlignment="1" applyBorder="1" applyFill="1" applyFont="1" applyNumberForma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6" fontId="10" numFmtId="9" xfId="0" applyAlignment="1" applyBorder="1" applyFont="1" applyNumberFormat="1">
      <alignment horizontal="center" readingOrder="0" shrinkToFit="0" vertical="center" wrapText="1"/>
    </xf>
    <xf borderId="4" fillId="6" fontId="10" numFmtId="10" xfId="0" applyAlignment="1" applyBorder="1" applyFont="1" applyNumberFormat="1">
      <alignment horizontal="center" readingOrder="0" shrinkToFit="0" vertical="center" wrapText="1"/>
    </xf>
    <xf borderId="4" fillId="6" fontId="10" numFmtId="164" xfId="0" applyAlignment="1" applyBorder="1" applyFont="1" applyNumberFormat="1">
      <alignment horizontal="center" readingOrder="0" shrinkToFit="0" vertical="center" wrapText="1"/>
    </xf>
    <xf borderId="4" fillId="6" fontId="10" numFmtId="165" xfId="0" applyAlignment="1" applyBorder="1" applyFont="1" applyNumberFormat="1">
      <alignment horizontal="center" shrinkToFit="0" vertical="center" wrapText="1"/>
    </xf>
    <xf borderId="4" fillId="3" fontId="9" numFmtId="0" xfId="0" applyAlignment="1" applyBorder="1" applyFont="1">
      <alignment horizontal="left" shrinkToFit="0" vertical="center" wrapText="0"/>
    </xf>
    <xf borderId="4" fillId="3" fontId="9" numFmtId="0" xfId="0" applyAlignment="1" applyBorder="1" applyFont="1">
      <alignment horizontal="center" shrinkToFit="0" vertical="center" wrapText="1"/>
    </xf>
    <xf borderId="4" fillId="3" fontId="6" numFmtId="166" xfId="0" applyAlignment="1" applyBorder="1" applyFont="1" applyNumberFormat="1">
      <alignment horizontal="right" shrinkToFit="0" vertical="center" wrapText="0"/>
    </xf>
    <xf borderId="4" fillId="3" fontId="6" numFmtId="164" xfId="0" applyAlignment="1" applyBorder="1" applyFont="1" applyNumberFormat="1">
      <alignment horizontal="right" shrinkToFit="0" vertical="center" wrapText="0"/>
    </xf>
    <xf borderId="4" fillId="5" fontId="5" numFmtId="164" xfId="0" applyAlignment="1" applyBorder="1" applyFont="1" applyNumberFormat="1">
      <alignment horizontal="right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center" shrinkToFit="0" vertical="center" wrapText="1"/>
    </xf>
    <xf borderId="0" fillId="0" fontId="6" numFmtId="166" xfId="0" applyAlignment="1" applyFont="1" applyNumberFormat="1">
      <alignment horizontal="right" shrinkToFit="0" vertical="center" wrapText="0"/>
    </xf>
    <xf borderId="0" fillId="0" fontId="6" numFmtId="164" xfId="0" applyAlignment="1" applyFont="1" applyNumberFormat="1">
      <alignment horizontal="right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6" fontId="10" numFmtId="165" xfId="0" applyAlignment="1" applyBorder="1" applyFont="1" applyNumberFormat="1">
      <alignment horizontal="center" readingOrder="0" shrinkToFit="0" vertical="center" wrapText="1"/>
    </xf>
    <xf borderId="4" fillId="3" fontId="6" numFmtId="165" xfId="0" applyAlignment="1" applyBorder="1" applyFont="1" applyNumberFormat="1">
      <alignment horizontal="right" shrinkToFit="0" vertical="center" wrapText="0"/>
    </xf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0"/>
    </xf>
    <xf borderId="0" fillId="0" fontId="6" numFmtId="165" xfId="0" applyAlignment="1" applyFont="1" applyNumberFormat="1">
      <alignment horizontal="right" shrinkToFit="0" vertical="center" wrapText="0"/>
    </xf>
    <xf borderId="1" fillId="7" fontId="3" numFmtId="0" xfId="0" applyAlignment="1" applyBorder="1" applyFill="1" applyFont="1">
      <alignment horizontal="left" shrinkToFit="0" vertical="center" wrapText="1"/>
    </xf>
    <xf borderId="0" fillId="0" fontId="14" numFmtId="0" xfId="0" applyAlignment="1" applyFont="1">
      <alignment shrinkToFit="0" wrapText="1"/>
    </xf>
    <xf borderId="4" fillId="5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  <xf borderId="4" fillId="8" fontId="6" numFmtId="0" xfId="0" applyAlignment="1" applyBorder="1" applyFont="1">
      <alignment horizontal="left" readingOrder="0" shrinkToFit="0" vertical="center" wrapText="1"/>
    </xf>
    <xf borderId="4" fillId="3" fontId="6" numFmtId="0" xfId="0" applyAlignment="1" applyBorder="1" applyFont="1">
      <alignment horizontal="left" shrinkToFit="0" vertical="center" wrapText="0"/>
    </xf>
    <xf borderId="4" fillId="3" fontId="6" numFmtId="164" xfId="0" applyAlignment="1" applyBorder="1" applyFont="1" applyNumberFormat="1">
      <alignment horizontal="right" shrinkToFit="0" vertical="center" wrapText="1"/>
    </xf>
    <xf borderId="0" fillId="0" fontId="6" numFmtId="0" xfId="0" applyAlignment="1" applyFont="1">
      <alignment horizontal="left" shrinkToFit="0" vertical="center" wrapText="0"/>
    </xf>
    <xf borderId="0" fillId="0" fontId="6" numFmtId="164" xfId="0" applyAlignment="1" applyFont="1" applyNumberFormat="1">
      <alignment horizontal="right" shrinkToFit="0" vertical="center" wrapText="1"/>
    </xf>
    <xf borderId="4" fillId="3" fontId="5" numFmtId="0" xfId="0" applyAlignment="1" applyBorder="1" applyFont="1">
      <alignment horizontal="left" shrinkToFit="0" vertical="center" wrapText="0"/>
    </xf>
    <xf borderId="4" fillId="5" fontId="5" numFmtId="164" xfId="0" applyAlignment="1" applyBorder="1" applyFont="1" applyNumberFormat="1">
      <alignment horizontal="right" shrinkToFit="0" vertical="center" wrapText="1"/>
    </xf>
    <xf borderId="0" fillId="0" fontId="5" numFmtId="0" xfId="0" applyAlignment="1" applyFont="1">
      <alignment horizontal="left" shrinkToFit="0" vertical="center" wrapText="0"/>
    </xf>
    <xf borderId="4" fillId="5" fontId="5" numFmtId="167" xfId="0" applyAlignment="1" applyBorder="1" applyFont="1" applyNumberFormat="1">
      <alignment horizontal="right" shrinkToFit="0" vertical="center" wrapText="1"/>
    </xf>
    <xf borderId="4" fillId="5" fontId="5" numFmtId="167" xfId="0" applyAlignment="1" applyBorder="1" applyFont="1" applyNumberFormat="1">
      <alignment horizontal="right" shrinkToFit="0" vertical="center" wrapText="0"/>
    </xf>
    <xf borderId="4" fillId="7" fontId="6" numFmtId="164" xfId="0" applyAlignment="1" applyBorder="1" applyFont="1" applyNumberFormat="1">
      <alignment horizontal="right" shrinkToFit="0" vertical="center" wrapText="0"/>
    </xf>
    <xf borderId="0" fillId="0" fontId="15" numFmtId="0" xfId="0" applyAlignment="1" applyFont="1">
      <alignment horizontal="left" shrinkToFit="0" vertical="center" wrapText="1"/>
    </xf>
    <xf borderId="7" fillId="9" fontId="16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10" fontId="17" numFmtId="0" xfId="0" applyAlignment="1" applyBorder="1" applyFill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13" fillId="10" fontId="14" numFmtId="0" xfId="0" applyAlignment="1" applyBorder="1" applyFont="1">
      <alignment vertical="bottom"/>
    </xf>
    <xf borderId="14" fillId="11" fontId="14" numFmtId="0" xfId="0" applyAlignment="1" applyBorder="1" applyFill="1" applyFont="1">
      <alignment readingOrder="0"/>
    </xf>
    <xf borderId="15" fillId="0" fontId="2" numFmtId="0" xfId="0" applyBorder="1" applyFont="1"/>
    <xf borderId="16" fillId="0" fontId="2" numFmtId="0" xfId="0" applyBorder="1" applyFont="1"/>
    <xf borderId="17" fillId="12" fontId="18" numFmtId="0" xfId="0" applyAlignment="1" applyBorder="1" applyFill="1" applyFont="1">
      <alignment horizontal="center" readingOrder="0"/>
    </xf>
    <xf borderId="17" fillId="13" fontId="19" numFmtId="0" xfId="0" applyAlignment="1" applyBorder="1" applyFill="1" applyFont="1">
      <alignment readingOrder="0"/>
    </xf>
    <xf borderId="17" fillId="13" fontId="19" numFmtId="0" xfId="0" applyAlignment="1" applyBorder="1" applyFont="1">
      <alignment horizontal="center" readingOrder="0"/>
    </xf>
    <xf borderId="17" fillId="13" fontId="19" numFmtId="3" xfId="0" applyAlignment="1" applyBorder="1" applyFont="1" applyNumberFormat="1">
      <alignment horizontal="right" readingOrder="0"/>
    </xf>
    <xf borderId="17" fillId="13" fontId="19" numFmtId="3" xfId="0" applyAlignment="1" applyBorder="1" applyFont="1" applyNumberFormat="1">
      <alignment horizontal="right"/>
    </xf>
    <xf borderId="17" fillId="14" fontId="19" numFmtId="0" xfId="0" applyAlignment="1" applyBorder="1" applyFill="1" applyFont="1">
      <alignment readingOrder="0"/>
    </xf>
    <xf borderId="17" fillId="14" fontId="19" numFmtId="0" xfId="0" applyAlignment="1" applyBorder="1" applyFont="1">
      <alignment horizontal="center" readingOrder="0"/>
    </xf>
    <xf borderId="17" fillId="14" fontId="19" numFmtId="3" xfId="0" applyAlignment="1" applyBorder="1" applyFont="1" applyNumberFormat="1">
      <alignment horizontal="right"/>
    </xf>
    <xf borderId="17" fillId="14" fontId="19" numFmtId="3" xfId="0" applyAlignment="1" applyBorder="1" applyFont="1" applyNumberFormat="1">
      <alignment horizontal="right" readingOrder="0"/>
    </xf>
    <xf borderId="17" fillId="14" fontId="20" numFmtId="0" xfId="0" applyAlignment="1" applyBorder="1" applyFont="1">
      <alignment readingOrder="0"/>
    </xf>
    <xf borderId="17" fillId="15" fontId="19" numFmtId="0" xfId="0" applyAlignment="1" applyBorder="1" applyFill="1" applyFont="1">
      <alignment readingOrder="0" vertical="bottom"/>
    </xf>
    <xf borderId="17" fillId="15" fontId="14" numFmtId="0" xfId="0" applyAlignment="1" applyBorder="1" applyFont="1">
      <alignment vertical="bottom"/>
    </xf>
    <xf borderId="17" fillId="15" fontId="19" numFmtId="3" xfId="0" applyAlignment="1" applyBorder="1" applyFont="1" applyNumberFormat="1">
      <alignment horizontal="right" readingOrder="0"/>
    </xf>
    <xf borderId="18" fillId="10" fontId="14" numFmtId="0" xfId="0" applyAlignment="1" applyBorder="1" applyFont="1">
      <alignment vertical="bottom"/>
    </xf>
    <xf borderId="19" fillId="10" fontId="14" numFmtId="0" xfId="0" applyAlignment="1" applyBorder="1" applyFont="1">
      <alignment vertical="bottom"/>
    </xf>
    <xf borderId="20" fillId="10" fontId="14" numFmtId="0" xfId="0" applyAlignment="1" applyBorder="1" applyFont="1">
      <alignment vertical="bottom"/>
    </xf>
    <xf borderId="21" fillId="10" fontId="14" numFmtId="0" xfId="0" applyAlignment="1" applyBorder="1" applyFont="1">
      <alignment vertical="bottom"/>
    </xf>
    <xf borderId="22" fillId="10" fontId="14" numFmtId="0" xfId="0" applyAlignment="1" applyBorder="1" applyFont="1">
      <alignment vertical="bottom"/>
    </xf>
    <xf borderId="17" fillId="13" fontId="17" numFmtId="0" xfId="0" applyAlignment="1" applyBorder="1" applyFont="1">
      <alignment readingOrder="0"/>
    </xf>
    <xf borderId="23" fillId="10" fontId="14" numFmtId="0" xfId="0" applyAlignment="1" applyBorder="1" applyFont="1">
      <alignment vertical="bottom"/>
    </xf>
    <xf borderId="24" fillId="10" fontId="14" numFmtId="0" xfId="0" applyAlignment="1" applyBorder="1" applyFont="1">
      <alignment vertical="bottom"/>
    </xf>
    <xf borderId="17" fillId="14" fontId="17" numFmtId="0" xfId="0" applyAlignment="1" applyBorder="1" applyFont="1">
      <alignment readingOrder="0"/>
    </xf>
    <xf borderId="17" fillId="15" fontId="19" numFmtId="0" xfId="0" applyAlignment="1" applyBorder="1" applyFont="1">
      <alignment horizontal="center" readingOrder="0"/>
    </xf>
    <xf borderId="17" fillId="15" fontId="14" numFmtId="3" xfId="0" applyAlignment="1" applyBorder="1" applyFont="1" applyNumberFormat="1">
      <alignment vertical="bottom"/>
    </xf>
    <xf borderId="17" fillId="10" fontId="19" numFmtId="0" xfId="0" applyAlignment="1" applyBorder="1" applyFont="1">
      <alignment readingOrder="0"/>
    </xf>
    <xf borderId="17" fillId="16" fontId="19" numFmtId="9" xfId="0" applyAlignment="1" applyBorder="1" applyFill="1" applyFont="1" applyNumberFormat="1">
      <alignment horizontal="center" readingOrder="0"/>
    </xf>
    <xf borderId="17" fillId="16" fontId="21" numFmtId="0" xfId="0" applyAlignment="1" applyBorder="1" applyFont="1">
      <alignment horizontal="center" readingOrder="0"/>
    </xf>
    <xf borderId="17" fillId="15" fontId="19" numFmtId="168" xfId="0" applyAlignment="1" applyBorder="1" applyFont="1" applyNumberFormat="1">
      <alignment horizontal="right" readingOrder="0"/>
    </xf>
    <xf borderId="17" fillId="16" fontId="19" numFmtId="0" xfId="0" applyAlignment="1" applyBorder="1" applyFont="1">
      <alignment horizontal="center" readingOrder="0"/>
    </xf>
    <xf borderId="17" fillId="10" fontId="19" numFmtId="0" xfId="0" applyAlignment="1" applyBorder="1" applyFont="1">
      <alignment horizontal="center" readingOrder="0"/>
    </xf>
    <xf borderId="25" fillId="10" fontId="17" numFmtId="0" xfId="0" applyAlignment="1" applyBorder="1" applyFont="1">
      <alignment readingOrder="0"/>
    </xf>
    <xf borderId="26" fillId="0" fontId="2" numFmtId="0" xfId="0" applyBorder="1" applyFont="1"/>
    <xf borderId="27" fillId="0" fontId="2" numFmtId="0" xfId="0" applyBorder="1" applyFont="1"/>
    <xf borderId="4" fillId="5" fontId="1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8.29"/>
    <col customWidth="1" min="3" max="3" width="24.0"/>
    <col customWidth="1" min="4" max="4" width="32.29"/>
    <col customWidth="1" min="5" max="5" width="24.0"/>
    <col customWidth="1" min="6" max="26" width="8.71"/>
  </cols>
  <sheetData>
    <row r="1" ht="25.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2"/>
      <c r="C2" s="2"/>
      <c r="D2" s="2"/>
      <c r="E2" s="3"/>
    </row>
    <row r="4" ht="19.5" customHeight="1">
      <c r="A4" s="5"/>
      <c r="B4" s="5" t="s">
        <v>2</v>
      </c>
      <c r="C4" s="5"/>
      <c r="D4" s="5" t="s">
        <v>3</v>
      </c>
      <c r="E4" s="5"/>
    </row>
    <row r="5" ht="18.0" customHeight="1">
      <c r="A5" s="5" t="s">
        <v>4</v>
      </c>
      <c r="B5" s="5" t="s">
        <v>5</v>
      </c>
      <c r="C5" s="5" t="s">
        <v>6</v>
      </c>
      <c r="D5" s="5" t="s">
        <v>5</v>
      </c>
      <c r="E5" s="5" t="s">
        <v>6</v>
      </c>
    </row>
    <row r="6" ht="18.0" customHeight="1">
      <c r="A6" s="6" t="s">
        <v>7</v>
      </c>
      <c r="B6" s="7" t="s">
        <v>8</v>
      </c>
      <c r="C6" s="8" t="s">
        <v>9</v>
      </c>
      <c r="D6" s="9" t="s">
        <v>10</v>
      </c>
      <c r="E6" s="10" t="s">
        <v>11</v>
      </c>
    </row>
    <row r="7" ht="18.0" customHeight="1">
      <c r="A7" s="11" t="s">
        <v>12</v>
      </c>
      <c r="B7" s="12" t="s">
        <v>13</v>
      </c>
      <c r="C7" s="13" t="s">
        <v>14</v>
      </c>
      <c r="D7" s="14" t="s">
        <v>15</v>
      </c>
      <c r="E7" s="15" t="s">
        <v>16</v>
      </c>
    </row>
    <row r="8" ht="18.0" customHeight="1">
      <c r="A8" s="6" t="s">
        <v>17</v>
      </c>
      <c r="B8" s="16" t="s">
        <v>18</v>
      </c>
      <c r="C8" s="8"/>
      <c r="D8" s="17" t="s">
        <v>19</v>
      </c>
      <c r="E8" s="10"/>
    </row>
    <row r="9" ht="18.0" customHeight="1">
      <c r="A9" s="11" t="s">
        <v>20</v>
      </c>
      <c r="B9" s="12" t="s">
        <v>21</v>
      </c>
      <c r="C9" s="18"/>
      <c r="D9" s="12" t="s">
        <v>22</v>
      </c>
      <c r="E9" s="15"/>
    </row>
    <row r="10" ht="18.0" customHeight="1">
      <c r="A10" s="6" t="s">
        <v>23</v>
      </c>
      <c r="B10" s="16" t="s">
        <v>24</v>
      </c>
      <c r="C10" s="8" t="s">
        <v>14</v>
      </c>
      <c r="D10" s="9" t="s">
        <v>25</v>
      </c>
      <c r="E10" s="10" t="s">
        <v>26</v>
      </c>
    </row>
    <row r="11" ht="18.0" customHeight="1">
      <c r="A11" s="11" t="s">
        <v>27</v>
      </c>
      <c r="B11" s="12" t="s">
        <v>28</v>
      </c>
      <c r="C11" s="18"/>
      <c r="D11" s="12" t="s">
        <v>28</v>
      </c>
      <c r="E11" s="15"/>
    </row>
    <row r="12" ht="18.0" customHeight="1">
      <c r="A12" s="6" t="s">
        <v>29</v>
      </c>
      <c r="B12" s="7" t="s">
        <v>30</v>
      </c>
      <c r="C12" s="8"/>
      <c r="D12" s="9" t="s">
        <v>31</v>
      </c>
      <c r="E12" s="10"/>
    </row>
    <row r="13" ht="22.5" customHeight="1">
      <c r="A13" s="11" t="s">
        <v>32</v>
      </c>
      <c r="B13" s="14" t="s">
        <v>33</v>
      </c>
      <c r="C13" s="18"/>
      <c r="D13" s="14" t="s">
        <v>34</v>
      </c>
      <c r="E13" s="15"/>
    </row>
    <row r="16" ht="18.0" customHeight="1">
      <c r="A16" s="19" t="s">
        <v>35</v>
      </c>
      <c r="B16" s="2"/>
      <c r="C16" s="2"/>
      <c r="D16" s="2"/>
      <c r="E16" s="3"/>
    </row>
    <row r="17" ht="18.0" customHeight="1">
      <c r="A17" s="5" t="s">
        <v>36</v>
      </c>
      <c r="B17" s="5" t="s">
        <v>37</v>
      </c>
      <c r="C17" s="5" t="s">
        <v>38</v>
      </c>
      <c r="D17" s="5" t="s">
        <v>39</v>
      </c>
      <c r="E17" s="5" t="s">
        <v>40</v>
      </c>
    </row>
    <row r="18" ht="15.75" customHeight="1">
      <c r="A18" s="7" t="s">
        <v>41</v>
      </c>
      <c r="B18" s="10" t="s">
        <v>42</v>
      </c>
      <c r="C18" s="20" t="s">
        <v>43</v>
      </c>
      <c r="D18" s="20" t="s">
        <v>44</v>
      </c>
      <c r="E18" s="7" t="s">
        <v>45</v>
      </c>
    </row>
    <row r="19" ht="15.75" customHeight="1">
      <c r="A19" s="12" t="s">
        <v>46</v>
      </c>
      <c r="B19" s="15" t="s">
        <v>47</v>
      </c>
      <c r="C19" s="20" t="s">
        <v>48</v>
      </c>
      <c r="D19" s="21" t="s">
        <v>49</v>
      </c>
      <c r="E19" s="14" t="s">
        <v>50</v>
      </c>
    </row>
    <row r="20" ht="15.75" customHeight="1">
      <c r="A20" s="7" t="s">
        <v>51</v>
      </c>
      <c r="B20" s="10" t="s">
        <v>52</v>
      </c>
      <c r="C20" s="20" t="s">
        <v>53</v>
      </c>
      <c r="D20" s="20" t="s">
        <v>54</v>
      </c>
      <c r="E20" s="16" t="s">
        <v>55</v>
      </c>
    </row>
    <row r="21" ht="15.75" customHeight="1">
      <c r="A21" s="12" t="s">
        <v>56</v>
      </c>
      <c r="B21" s="15" t="s">
        <v>57</v>
      </c>
      <c r="C21" s="21" t="s">
        <v>58</v>
      </c>
      <c r="D21" s="20" t="s">
        <v>59</v>
      </c>
      <c r="E21" s="14" t="s">
        <v>60</v>
      </c>
    </row>
    <row r="22" ht="15.75" customHeight="1">
      <c r="A22" s="7" t="s">
        <v>61</v>
      </c>
      <c r="B22" s="10" t="s">
        <v>62</v>
      </c>
      <c r="C22" s="21" t="s">
        <v>63</v>
      </c>
      <c r="D22" s="20" t="s">
        <v>59</v>
      </c>
      <c r="E22" s="16" t="s">
        <v>64</v>
      </c>
    </row>
    <row r="23" ht="15.75" customHeight="1"/>
    <row r="24" ht="18.0" customHeight="1">
      <c r="A24" s="22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2:E2"/>
    <mergeCell ref="A16:E16"/>
    <mergeCell ref="A24:E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26.57"/>
    <col customWidth="1" min="4" max="8" width="18.0"/>
    <col customWidth="1" min="9" max="26" width="8.71"/>
  </cols>
  <sheetData>
    <row r="1" ht="25.5" customHeight="1">
      <c r="A1" s="1" t="s">
        <v>65</v>
      </c>
      <c r="B1" s="2"/>
      <c r="C1" s="2"/>
      <c r="D1" s="2"/>
      <c r="E1" s="2"/>
      <c r="F1" s="2"/>
      <c r="G1" s="2"/>
      <c r="H1" s="3"/>
    </row>
    <row r="2" ht="19.5" customHeight="1">
      <c r="A2" s="4" t="s">
        <v>66</v>
      </c>
      <c r="B2" s="2"/>
      <c r="C2" s="2"/>
      <c r="D2" s="2"/>
      <c r="E2" s="2"/>
      <c r="F2" s="2"/>
      <c r="G2" s="2"/>
      <c r="H2" s="3"/>
    </row>
    <row r="4" ht="18.0" customHeight="1">
      <c r="A4" s="19" t="s">
        <v>67</v>
      </c>
      <c r="B4" s="2"/>
      <c r="C4" s="2"/>
      <c r="D4" s="2"/>
      <c r="E4" s="2"/>
      <c r="F4" s="2"/>
      <c r="G4" s="2"/>
      <c r="H4" s="3"/>
    </row>
    <row r="5" ht="15.75" customHeight="1">
      <c r="A5" s="23" t="s">
        <v>68</v>
      </c>
      <c r="B5" s="24">
        <v>1500.0</v>
      </c>
      <c r="C5" s="25" t="s">
        <v>69</v>
      </c>
    </row>
    <row r="6" ht="15.75" customHeight="1">
      <c r="A6" s="26" t="s">
        <v>70</v>
      </c>
      <c r="B6" s="24">
        <v>300000.0</v>
      </c>
      <c r="C6" s="25" t="s">
        <v>71</v>
      </c>
    </row>
    <row r="7" ht="15.75" customHeight="1">
      <c r="A7" s="23" t="s">
        <v>72</v>
      </c>
      <c r="B7" s="27">
        <v>0.01</v>
      </c>
      <c r="C7" s="25"/>
    </row>
    <row r="8" ht="15.75" customHeight="1">
      <c r="A8" s="26" t="s">
        <v>73</v>
      </c>
      <c r="B8" s="28">
        <v>0.0075</v>
      </c>
      <c r="C8" s="25"/>
    </row>
    <row r="9" ht="15.75" customHeight="1">
      <c r="A9" s="23" t="s">
        <v>74</v>
      </c>
      <c r="B9" s="28">
        <v>0.005</v>
      </c>
      <c r="C9" s="25"/>
    </row>
    <row r="10" ht="15.75" customHeight="1">
      <c r="A10" s="26" t="s">
        <v>75</v>
      </c>
      <c r="B10" s="24">
        <v>1000000.0</v>
      </c>
      <c r="C10" s="25"/>
    </row>
    <row r="11" ht="15.75" customHeight="1">
      <c r="A11" s="23" t="s">
        <v>76</v>
      </c>
      <c r="B11" s="24">
        <v>3000000.0</v>
      </c>
      <c r="C11" s="25"/>
    </row>
    <row r="12" ht="15.75" customHeight="1">
      <c r="A12" s="26" t="s">
        <v>77</v>
      </c>
      <c r="B12" s="29">
        <v>31500.0</v>
      </c>
      <c r="C12" s="25" t="s">
        <v>78</v>
      </c>
    </row>
    <row r="13" ht="15.75" customHeight="1">
      <c r="A13" s="23" t="s">
        <v>79</v>
      </c>
      <c r="B13" s="30">
        <v>30.0</v>
      </c>
      <c r="C13" s="25" t="s">
        <v>80</v>
      </c>
    </row>
    <row r="14" ht="15.75" customHeight="1">
      <c r="A14" s="26" t="s">
        <v>81</v>
      </c>
      <c r="B14" s="30">
        <v>12.0</v>
      </c>
      <c r="C14" s="25"/>
    </row>
    <row r="16" ht="18.0" customHeight="1">
      <c r="A16" s="19" t="s">
        <v>82</v>
      </c>
      <c r="B16" s="2"/>
      <c r="C16" s="2"/>
      <c r="D16" s="2"/>
      <c r="E16" s="2"/>
      <c r="F16" s="2"/>
      <c r="G16" s="2"/>
      <c r="H16" s="3"/>
    </row>
    <row r="17" ht="29.25" customHeight="1">
      <c r="A17" s="5" t="s">
        <v>83</v>
      </c>
      <c r="B17" s="5" t="s">
        <v>84</v>
      </c>
      <c r="C17" s="5" t="s">
        <v>85</v>
      </c>
      <c r="D17" s="5" t="s">
        <v>86</v>
      </c>
      <c r="E17" s="5" t="s">
        <v>87</v>
      </c>
      <c r="F17" s="5" t="s">
        <v>88</v>
      </c>
      <c r="G17" s="5" t="s">
        <v>89</v>
      </c>
      <c r="H17" s="5" t="s">
        <v>90</v>
      </c>
    </row>
    <row r="18" ht="15.75" customHeight="1">
      <c r="A18" s="31" t="s">
        <v>41</v>
      </c>
      <c r="B18" s="24">
        <v>100000.0</v>
      </c>
      <c r="C18" s="32" t="str">
        <f>IF(B18&lt;B6,"Below threshold",IF(B18&lt;=B10,"Tier 1 (≤€1M)",IF(B18&lt;=B11,"Tier 2 (≤€3M)","Tier 3 (&gt;€3M)")))</f>
        <v>Below threshold</v>
      </c>
      <c r="D18" s="33">
        <f>IF(B18&lt;B6,0,IF(B18&lt;=B10,B7,IF(B18&lt;=B11,B8,B9)))</f>
        <v>0</v>
      </c>
      <c r="E18" s="34">
        <f>MAX(0,B18-B6)*D18</f>
        <v>0</v>
      </c>
      <c r="F18" s="34">
        <f>B5</f>
        <v>1500</v>
      </c>
      <c r="G18" s="35">
        <f>MIN(E18+F18,B12)</f>
        <v>1500</v>
      </c>
      <c r="H18" s="35">
        <f t="shared" ref="H18:H28" si="1">G18*12</f>
        <v>18000</v>
      </c>
    </row>
    <row r="19" ht="15.75" customHeight="1">
      <c r="A19" s="36" t="s">
        <v>91</v>
      </c>
      <c r="B19" s="24">
        <v>250000.0</v>
      </c>
      <c r="C19" s="37" t="str">
        <f>IF(B19&lt;B6,"Below threshold",IF(B19&lt;=B10,"Tier 1 (≤€1M)",IF(B19&lt;=B11,"Tier 2 (≤€3M)","Tier 3 (&gt;€3M)")))</f>
        <v>Below threshold</v>
      </c>
      <c r="D19" s="38">
        <f>IF(B19&lt;B6,0,IF(B19&lt;=B10,B7,IF(B19&lt;=B11,B8,B9)))</f>
        <v>0</v>
      </c>
      <c r="E19" s="39">
        <f>MAX(0,B19-B6)*D19</f>
        <v>0</v>
      </c>
      <c r="F19" s="39">
        <f>B5</f>
        <v>1500</v>
      </c>
      <c r="G19" s="35">
        <f>MIN(E19+F19,B12)</f>
        <v>1500</v>
      </c>
      <c r="H19" s="35">
        <f t="shared" si="1"/>
        <v>18000</v>
      </c>
    </row>
    <row r="20" ht="15.75" customHeight="1">
      <c r="A20" s="31" t="s">
        <v>92</v>
      </c>
      <c r="B20" s="24">
        <v>300000.0</v>
      </c>
      <c r="C20" s="32" t="str">
        <f>IF(B20&lt;B6,"Below threshold",IF(B20&lt;=B10,"Tier 1 (≤€1M)",IF(B20&lt;=B11,"Tier 2 (≤€3M)","Tier 3 (&gt;€3M)")))</f>
        <v>Tier 1 (≤€1M)</v>
      </c>
      <c r="D20" s="33">
        <f>IF(B20&lt;B6,0,IF(B20&lt;=B10,B7,IF(B20&lt;=B11,B8,B9)))</f>
        <v>0.01</v>
      </c>
      <c r="E20" s="34">
        <f>MAX(0,B20-B6)*D20</f>
        <v>0</v>
      </c>
      <c r="F20" s="34">
        <f>B5</f>
        <v>1500</v>
      </c>
      <c r="G20" s="35">
        <f>MIN(E20+F20,B12)</f>
        <v>1500</v>
      </c>
      <c r="H20" s="35">
        <f t="shared" si="1"/>
        <v>18000</v>
      </c>
    </row>
    <row r="21" ht="15.75" customHeight="1">
      <c r="A21" s="36" t="s">
        <v>93</v>
      </c>
      <c r="B21" s="24">
        <v>500000.0</v>
      </c>
      <c r="C21" s="37" t="str">
        <f>IF(B21&lt;B6,"Below threshold",IF(B21&lt;=B10,"Tier 1 (≤€1M)",IF(B21&lt;=B11,"Tier 2 (≤€3M)","Tier 3 (&gt;€3M)")))</f>
        <v>Tier 1 (≤€1M)</v>
      </c>
      <c r="D21" s="38">
        <f>IF(B21&lt;B6,0,IF(B21&lt;=B10,B7,IF(B21&lt;=B11,B8,B9)))</f>
        <v>0.01</v>
      </c>
      <c r="E21" s="39">
        <f>MAX(0,B21-B6)*D21</f>
        <v>2000</v>
      </c>
      <c r="F21" s="39">
        <f>B5</f>
        <v>1500</v>
      </c>
      <c r="G21" s="35">
        <f>MIN(E21+F21,B12)</f>
        <v>3500</v>
      </c>
      <c r="H21" s="35">
        <f t="shared" si="1"/>
        <v>42000</v>
      </c>
    </row>
    <row r="22" ht="15.75" customHeight="1">
      <c r="A22" s="31" t="s">
        <v>94</v>
      </c>
      <c r="B22" s="24">
        <v>750000.0</v>
      </c>
      <c r="C22" s="32" t="str">
        <f>IF(B22&lt;B6,"Below threshold",IF(B22&lt;=B10,"Tier 1 (≤€1M)",IF(B22&lt;=B11,"Tier 2 (≤€3M)","Tier 3 (&gt;€3M)")))</f>
        <v>Tier 1 (≤€1M)</v>
      </c>
      <c r="D22" s="33">
        <f>IF(B22&lt;B6,0,IF(B22&lt;=B10,B7,IF(B22&lt;=B11,B8,B9)))</f>
        <v>0.01</v>
      </c>
      <c r="E22" s="34">
        <f>MAX(0,B22-B6)*D22</f>
        <v>4500</v>
      </c>
      <c r="F22" s="34">
        <f>B5</f>
        <v>1500</v>
      </c>
      <c r="G22" s="35">
        <f>MIN(E22+F22,B12)</f>
        <v>6000</v>
      </c>
      <c r="H22" s="35">
        <f t="shared" si="1"/>
        <v>72000</v>
      </c>
    </row>
    <row r="23" ht="15.75" customHeight="1">
      <c r="A23" s="36" t="s">
        <v>95</v>
      </c>
      <c r="B23" s="24">
        <v>1000000.0</v>
      </c>
      <c r="C23" s="37" t="str">
        <f>IF(B23&lt;B6,"Below threshold",IF(B23&lt;=B10,"Tier 1 (≤€1M)",IF(B23&lt;=B11,"Tier 2 (≤€3M)","Tier 3 (&gt;€3M)")))</f>
        <v>Tier 1 (≤€1M)</v>
      </c>
      <c r="D23" s="38">
        <f>IF(B23&lt;B6,0,IF(B23&lt;=B10,B7,IF(B23&lt;=B11,B8,B9)))</f>
        <v>0.01</v>
      </c>
      <c r="E23" s="39">
        <f>MAX(0,B23-B6)*D23</f>
        <v>7000</v>
      </c>
      <c r="F23" s="39">
        <f>B5</f>
        <v>1500</v>
      </c>
      <c r="G23" s="35">
        <f>MIN(E23+F23,B12)</f>
        <v>8500</v>
      </c>
      <c r="H23" s="35">
        <f t="shared" si="1"/>
        <v>102000</v>
      </c>
    </row>
    <row r="24" ht="15.75" customHeight="1">
      <c r="A24" s="31" t="s">
        <v>96</v>
      </c>
      <c r="B24" s="24">
        <v>1500000.0</v>
      </c>
      <c r="C24" s="32" t="str">
        <f>IF(B24&lt;B6,"Below threshold",IF(B24&lt;=B10,"Tier 1 (≤€1M)",IF(B24&lt;=B11,"Tier 2 (≤€3M)","Tier 3 (&gt;€3M)")))</f>
        <v>Tier 2 (≤€3M)</v>
      </c>
      <c r="D24" s="33">
        <f>IF(B24&lt;B6,0,IF(B24&lt;=B10,B7,IF(B24&lt;=B11,B8,B9)))</f>
        <v>0.0075</v>
      </c>
      <c r="E24" s="34">
        <f>MAX(0,B24-B6)*D24</f>
        <v>9000</v>
      </c>
      <c r="F24" s="34">
        <f>B5</f>
        <v>1500</v>
      </c>
      <c r="G24" s="35">
        <f>MIN(E24+F24,B12)</f>
        <v>10500</v>
      </c>
      <c r="H24" s="35">
        <f t="shared" si="1"/>
        <v>126000</v>
      </c>
    </row>
    <row r="25" ht="15.75" customHeight="1">
      <c r="A25" s="36" t="s">
        <v>97</v>
      </c>
      <c r="B25" s="24">
        <v>2500000.0</v>
      </c>
      <c r="C25" s="37" t="str">
        <f>IF(B25&lt;B6,"Below threshold",IF(B25&lt;=B10,"Tier 1 (≤€1M)",IF(B25&lt;=B11,"Tier 2 (≤€3M)","Tier 3 (&gt;€3M)")))</f>
        <v>Tier 2 (≤€3M)</v>
      </c>
      <c r="D25" s="38">
        <f>IF(B25&lt;B6,0,IF(B25&lt;=B10,B7,IF(B25&lt;=B11,B8,B9)))</f>
        <v>0.0075</v>
      </c>
      <c r="E25" s="39">
        <f>MAX(0,B25-B6)*D25</f>
        <v>16500</v>
      </c>
      <c r="F25" s="39">
        <f>B5</f>
        <v>1500</v>
      </c>
      <c r="G25" s="35">
        <f>MIN(E25+F25,B12)</f>
        <v>18000</v>
      </c>
      <c r="H25" s="35">
        <f t="shared" si="1"/>
        <v>216000</v>
      </c>
    </row>
    <row r="26" ht="15.75" customHeight="1">
      <c r="A26" s="31" t="s">
        <v>98</v>
      </c>
      <c r="B26" s="24">
        <v>3000000.0</v>
      </c>
      <c r="C26" s="32" t="str">
        <f>IF(B26&lt;B6,"Below threshold",IF(B26&lt;=B10,"Tier 1 (≤€1M)",IF(B26&lt;=B11,"Tier 2 (≤€3M)","Tier 3 (&gt;€3M)")))</f>
        <v>Tier 2 (≤€3M)</v>
      </c>
      <c r="D26" s="33">
        <f>IF(B26&lt;B6,0,IF(B26&lt;=B10,B7,IF(B26&lt;=B11,B8,B9)))</f>
        <v>0.0075</v>
      </c>
      <c r="E26" s="34">
        <f>MAX(0,B26-B6)*D26</f>
        <v>20250</v>
      </c>
      <c r="F26" s="34">
        <f>B5</f>
        <v>1500</v>
      </c>
      <c r="G26" s="35">
        <f>MIN(E26+F26,B12)</f>
        <v>21750</v>
      </c>
      <c r="H26" s="35">
        <f t="shared" si="1"/>
        <v>261000</v>
      </c>
    </row>
    <row r="27" ht="15.75" customHeight="1">
      <c r="A27" s="36" t="s">
        <v>99</v>
      </c>
      <c r="B27" s="24">
        <v>5000000.0</v>
      </c>
      <c r="C27" s="37" t="str">
        <f>IF(B27&lt;B6,"Below threshold",IF(B27&lt;=B10,"Tier 1 (≤€1M)",IF(B27&lt;=B11,"Tier 2 (≤€3M)","Tier 3 (&gt;€3M)")))</f>
        <v>Tier 3 (&gt;€3M)</v>
      </c>
      <c r="D27" s="38">
        <f>IF(B27&lt;B6,0,IF(B27&lt;=B10,B7,IF(B27&lt;=B11,B8,B9)))</f>
        <v>0.005</v>
      </c>
      <c r="E27" s="39">
        <f>MAX(0,B27-B6)*D27</f>
        <v>23500</v>
      </c>
      <c r="F27" s="39">
        <f>B5</f>
        <v>1500</v>
      </c>
      <c r="G27" s="35">
        <f>MIN(E27+F27,B12)</f>
        <v>25000</v>
      </c>
      <c r="H27" s="35">
        <f t="shared" si="1"/>
        <v>300000</v>
      </c>
    </row>
    <row r="28" ht="15.75" customHeight="1">
      <c r="A28" s="31" t="s">
        <v>61</v>
      </c>
      <c r="B28" s="24">
        <v>1.0E7</v>
      </c>
      <c r="C28" s="32" t="str">
        <f>IF(B28&lt;B6,"Below threshold",IF(B28&lt;=B10,"Tier 1 (≤€1M)",IF(B28&lt;=B11,"Tier 2 (≤€3M)","Tier 3 (&gt;€3M)")))</f>
        <v>Tier 3 (&gt;€3M)</v>
      </c>
      <c r="D28" s="33">
        <f>IF(B28&lt;B6,0,IF(B28&lt;=B10,B7,IF(B28&lt;=B11,B8,B9)))</f>
        <v>0.005</v>
      </c>
      <c r="E28" s="34">
        <f>MAX(0,B28-B6)*D28</f>
        <v>48500</v>
      </c>
      <c r="F28" s="34">
        <f>B5</f>
        <v>1500</v>
      </c>
      <c r="G28" s="35">
        <f>MIN(E28+F28,B12)</f>
        <v>31500</v>
      </c>
      <c r="H28" s="35">
        <f t="shared" si="1"/>
        <v>378000</v>
      </c>
    </row>
    <row r="29" ht="15.75" customHeight="1"/>
    <row r="30" ht="18.0" customHeight="1">
      <c r="A30" s="19" t="s">
        <v>100</v>
      </c>
      <c r="B30" s="2"/>
      <c r="C30" s="2"/>
      <c r="D30" s="2"/>
      <c r="E30" s="2"/>
      <c r="F30" s="2"/>
      <c r="G30" s="2"/>
      <c r="H30" s="3"/>
    </row>
    <row r="31" ht="30.0" customHeight="1">
      <c r="A31" s="5" t="s">
        <v>101</v>
      </c>
      <c r="B31" s="5" t="s">
        <v>102</v>
      </c>
      <c r="C31" s="5" t="s">
        <v>103</v>
      </c>
      <c r="D31" s="5" t="s">
        <v>104</v>
      </c>
      <c r="E31" s="5" t="s">
        <v>105</v>
      </c>
      <c r="F31" s="5" t="s">
        <v>106</v>
      </c>
      <c r="G31" s="5" t="s">
        <v>107</v>
      </c>
      <c r="H31" s="5" t="s">
        <v>40</v>
      </c>
    </row>
    <row r="32" ht="15.75" customHeight="1">
      <c r="A32" s="40" t="s">
        <v>108</v>
      </c>
      <c r="B32" s="41">
        <v>0.0</v>
      </c>
      <c r="C32" s="30">
        <v>0.0</v>
      </c>
      <c r="D32" s="30">
        <v>0.0</v>
      </c>
      <c r="E32" s="30">
        <v>0.0</v>
      </c>
      <c r="F32" s="42">
        <f t="shared" ref="F32:F37" si="2">B32+C32+D32+E32</f>
        <v>0</v>
      </c>
      <c r="G32" s="35">
        <f t="shared" ref="G32:G37" si="3">B32*1500+C32*9000+D32*16500+E32*31500</f>
        <v>0</v>
      </c>
      <c r="H32" s="43"/>
    </row>
    <row r="33" ht="15.75" customHeight="1">
      <c r="A33" s="44" t="s">
        <v>109</v>
      </c>
      <c r="B33" s="41">
        <v>1.0</v>
      </c>
      <c r="C33" s="41">
        <v>0.0</v>
      </c>
      <c r="D33" s="30">
        <v>0.0</v>
      </c>
      <c r="E33" s="30">
        <v>0.0</v>
      </c>
      <c r="F33" s="45">
        <f t="shared" si="2"/>
        <v>1</v>
      </c>
      <c r="G33" s="35">
        <f t="shared" si="3"/>
        <v>1500</v>
      </c>
      <c r="H33" s="43"/>
    </row>
    <row r="34" ht="15.75" customHeight="1">
      <c r="A34" s="40" t="s">
        <v>110</v>
      </c>
      <c r="B34" s="41">
        <v>1.0</v>
      </c>
      <c r="C34" s="41">
        <v>0.0</v>
      </c>
      <c r="D34" s="41">
        <v>0.0</v>
      </c>
      <c r="E34" s="30">
        <v>0.0</v>
      </c>
      <c r="F34" s="42">
        <f t="shared" si="2"/>
        <v>1</v>
      </c>
      <c r="G34" s="35">
        <f t="shared" si="3"/>
        <v>1500</v>
      </c>
      <c r="H34" s="43"/>
    </row>
    <row r="35" ht="15.75" customHeight="1">
      <c r="A35" s="44" t="s">
        <v>111</v>
      </c>
      <c r="B35" s="41">
        <v>2.0</v>
      </c>
      <c r="C35" s="41">
        <v>1.0</v>
      </c>
      <c r="D35" s="41">
        <v>0.0</v>
      </c>
      <c r="E35" s="30">
        <v>0.0</v>
      </c>
      <c r="F35" s="45">
        <f t="shared" si="2"/>
        <v>3</v>
      </c>
      <c r="G35" s="35">
        <f t="shared" si="3"/>
        <v>12000</v>
      </c>
      <c r="H35" s="43"/>
    </row>
    <row r="36" ht="15.75" customHeight="1">
      <c r="A36" s="40" t="s">
        <v>112</v>
      </c>
      <c r="B36" s="41">
        <v>3.0</v>
      </c>
      <c r="C36" s="30">
        <v>2.0</v>
      </c>
      <c r="D36" s="41">
        <v>1.0</v>
      </c>
      <c r="E36" s="41">
        <v>0.0</v>
      </c>
      <c r="F36" s="42">
        <f t="shared" si="2"/>
        <v>6</v>
      </c>
      <c r="G36" s="35">
        <f t="shared" si="3"/>
        <v>39000</v>
      </c>
      <c r="H36" s="43"/>
    </row>
    <row r="37" ht="15.75" customHeight="1">
      <c r="A37" s="44" t="s">
        <v>113</v>
      </c>
      <c r="B37" s="41">
        <v>4.0</v>
      </c>
      <c r="C37" s="41">
        <v>3.0</v>
      </c>
      <c r="D37" s="30">
        <v>2.0</v>
      </c>
      <c r="E37" s="41">
        <v>1.0</v>
      </c>
      <c r="F37" s="45">
        <f t="shared" si="2"/>
        <v>10</v>
      </c>
      <c r="G37" s="35">
        <f t="shared" si="3"/>
        <v>97500</v>
      </c>
      <c r="H37" s="4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H2"/>
    <mergeCell ref="A4:H4"/>
    <mergeCell ref="A16:H16"/>
    <mergeCell ref="A30:H3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33.57"/>
    <col customWidth="1" min="3" max="6" width="22.0"/>
    <col customWidth="1" min="7" max="26" width="8.71"/>
  </cols>
  <sheetData>
    <row r="1" ht="25.5" customHeight="1">
      <c r="A1" s="1" t="s">
        <v>114</v>
      </c>
      <c r="B1" s="2"/>
      <c r="C1" s="2"/>
      <c r="D1" s="2"/>
      <c r="E1" s="2"/>
      <c r="F1" s="3"/>
    </row>
    <row r="2" ht="19.5" customHeight="1">
      <c r="A2" s="46" t="s">
        <v>115</v>
      </c>
      <c r="B2" s="2"/>
      <c r="C2" s="2"/>
      <c r="D2" s="2"/>
      <c r="E2" s="2"/>
      <c r="F2" s="3"/>
    </row>
    <row r="3">
      <c r="B3" s="47"/>
    </row>
    <row r="4" ht="18.0" customHeight="1">
      <c r="A4" s="19" t="s">
        <v>116</v>
      </c>
      <c r="B4" s="2"/>
      <c r="C4" s="2"/>
      <c r="D4" s="2"/>
      <c r="E4" s="2"/>
      <c r="F4" s="3"/>
    </row>
    <row r="5" ht="18.0" customHeight="1">
      <c r="A5" s="5" t="s">
        <v>117</v>
      </c>
      <c r="B5" s="5" t="s">
        <v>118</v>
      </c>
      <c r="C5" s="5" t="s">
        <v>119</v>
      </c>
      <c r="D5" s="5" t="s">
        <v>120</v>
      </c>
      <c r="E5" s="5" t="s">
        <v>121</v>
      </c>
    </row>
    <row r="6" ht="42.0" customHeight="1">
      <c r="A6" s="6" t="s">
        <v>122</v>
      </c>
      <c r="B6" s="48" t="s">
        <v>123</v>
      </c>
      <c r="C6" s="49" t="s">
        <v>124</v>
      </c>
      <c r="D6" s="48" t="s">
        <v>125</v>
      </c>
      <c r="E6" s="48" t="s">
        <v>126</v>
      </c>
    </row>
    <row r="7" ht="36.0" customHeight="1">
      <c r="A7" s="11" t="s">
        <v>127</v>
      </c>
      <c r="B7" s="48" t="s">
        <v>128</v>
      </c>
      <c r="C7" s="49" t="s">
        <v>129</v>
      </c>
      <c r="D7" s="48" t="s">
        <v>130</v>
      </c>
      <c r="E7" s="48" t="s">
        <v>131</v>
      </c>
    </row>
    <row r="8" ht="36.0" customHeight="1">
      <c r="A8" s="50" t="s">
        <v>132</v>
      </c>
      <c r="B8" s="51" t="s">
        <v>133</v>
      </c>
      <c r="C8" s="52" t="s">
        <v>134</v>
      </c>
      <c r="D8" s="48" t="s">
        <v>130</v>
      </c>
      <c r="E8" s="48" t="s">
        <v>131</v>
      </c>
    </row>
    <row r="9" ht="36.0" customHeight="1">
      <c r="A9" s="11" t="s">
        <v>135</v>
      </c>
      <c r="B9" s="48" t="s">
        <v>136</v>
      </c>
      <c r="C9" s="49" t="s">
        <v>137</v>
      </c>
      <c r="D9" s="48" t="s">
        <v>138</v>
      </c>
      <c r="E9" s="48" t="s">
        <v>139</v>
      </c>
    </row>
    <row r="10" ht="36.0" customHeight="1">
      <c r="A10" s="6" t="s">
        <v>140</v>
      </c>
      <c r="B10" s="48" t="s">
        <v>141</v>
      </c>
      <c r="C10" s="49" t="s">
        <v>142</v>
      </c>
      <c r="D10" s="48" t="s">
        <v>143</v>
      </c>
      <c r="E10" s="48" t="s">
        <v>144</v>
      </c>
    </row>
    <row r="11">
      <c r="B11" s="47"/>
    </row>
    <row r="12">
      <c r="B12" s="47"/>
    </row>
    <row r="13" ht="18.0" customHeight="1">
      <c r="A13" s="19" t="s">
        <v>67</v>
      </c>
      <c r="B13" s="2"/>
      <c r="C13" s="2"/>
      <c r="D13" s="2"/>
      <c r="E13" s="2"/>
      <c r="F13" s="3"/>
    </row>
    <row r="14" ht="15.75" customHeight="1">
      <c r="A14" s="23" t="s">
        <v>145</v>
      </c>
      <c r="B14" s="24">
        <v>8000.0</v>
      </c>
      <c r="C14" s="25" t="s">
        <v>146</v>
      </c>
    </row>
    <row r="15" ht="15.75" customHeight="1">
      <c r="A15" s="26" t="s">
        <v>147</v>
      </c>
      <c r="B15" s="24">
        <v>5000.0</v>
      </c>
      <c r="C15" s="25" t="s">
        <v>148</v>
      </c>
    </row>
    <row r="16" ht="15.75" customHeight="1">
      <c r="A16" s="23" t="s">
        <v>149</v>
      </c>
      <c r="B16" s="24">
        <v>0.0</v>
      </c>
      <c r="C16" s="25" t="s">
        <v>150</v>
      </c>
    </row>
    <row r="17" ht="15.75" customHeight="1">
      <c r="A17" s="26" t="s">
        <v>151</v>
      </c>
      <c r="B17" s="24">
        <v>2500.0</v>
      </c>
      <c r="C17" s="25" t="s">
        <v>152</v>
      </c>
    </row>
    <row r="18" ht="15.75" customHeight="1">
      <c r="A18" s="23" t="s">
        <v>153</v>
      </c>
      <c r="B18" s="24">
        <v>3500.0</v>
      </c>
      <c r="C18" s="25" t="s">
        <v>154</v>
      </c>
    </row>
    <row r="19" ht="15.75" customHeight="1">
      <c r="A19" s="26" t="s">
        <v>155</v>
      </c>
      <c r="B19" s="24">
        <v>5000.0</v>
      </c>
      <c r="C19" s="25" t="s">
        <v>156</v>
      </c>
    </row>
    <row r="20" ht="15.75" customHeight="1">
      <c r="A20" s="23" t="s">
        <v>157</v>
      </c>
      <c r="B20" s="30">
        <v>14.0</v>
      </c>
      <c r="C20" s="25" t="s">
        <v>158</v>
      </c>
    </row>
    <row r="21" ht="15.75" customHeight="1">
      <c r="A21" s="26" t="s">
        <v>159</v>
      </c>
      <c r="B21" s="30">
        <v>12.0</v>
      </c>
      <c r="C21" s="25"/>
    </row>
    <row r="22" ht="15.75" customHeight="1">
      <c r="B22" s="47"/>
    </row>
    <row r="23" ht="18.0" customHeight="1">
      <c r="A23" s="19" t="s">
        <v>160</v>
      </c>
      <c r="B23" s="2"/>
      <c r="C23" s="2"/>
      <c r="D23" s="2"/>
      <c r="E23" s="2"/>
      <c r="F23" s="3"/>
    </row>
    <row r="24" ht="18.0" customHeight="1">
      <c r="A24" s="5" t="s">
        <v>161</v>
      </c>
      <c r="B24" s="5" t="s">
        <v>162</v>
      </c>
      <c r="C24" s="5" t="s">
        <v>163</v>
      </c>
      <c r="D24" s="5" t="s">
        <v>164</v>
      </c>
      <c r="E24" s="5" t="s">
        <v>40</v>
      </c>
    </row>
    <row r="25" ht="15.75" customHeight="1">
      <c r="A25" s="53" t="s">
        <v>165</v>
      </c>
      <c r="B25" s="54">
        <f>B14</f>
        <v>8000</v>
      </c>
      <c r="C25" s="34">
        <f>B15</f>
        <v>5000</v>
      </c>
      <c r="D25" s="34">
        <f>B16</f>
        <v>0</v>
      </c>
    </row>
    <row r="26" ht="15.75" customHeight="1">
      <c r="A26" s="55" t="s">
        <v>166</v>
      </c>
      <c r="B26" s="56">
        <f>B17</f>
        <v>2500</v>
      </c>
      <c r="C26" s="39">
        <f>B18</f>
        <v>3500</v>
      </c>
      <c r="D26" s="39">
        <f>B19</f>
        <v>5000</v>
      </c>
    </row>
    <row r="27" ht="15.75" customHeight="1">
      <c r="A27" s="57" t="s">
        <v>167</v>
      </c>
      <c r="B27" s="58">
        <f>B14+B17</f>
        <v>10500</v>
      </c>
      <c r="C27" s="35">
        <f>B15+B18</f>
        <v>8500</v>
      </c>
      <c r="D27" s="35">
        <f>B16+B19</f>
        <v>5000</v>
      </c>
    </row>
    <row r="28" ht="15.75" customHeight="1">
      <c r="A28" s="59" t="s">
        <v>168</v>
      </c>
      <c r="B28" s="58">
        <f>B14+B17*B21</f>
        <v>38000</v>
      </c>
      <c r="C28" s="35">
        <f>B15+B18*B21</f>
        <v>47000</v>
      </c>
      <c r="D28" s="35">
        <f>B16+B19*B21</f>
        <v>60000</v>
      </c>
    </row>
    <row r="29" ht="15.75" customHeight="1">
      <c r="A29" s="57" t="s">
        <v>169</v>
      </c>
      <c r="B29" s="58">
        <f>140000-(B14+B17*12)</f>
        <v>102000</v>
      </c>
      <c r="C29" s="35">
        <f>140000-(B15+B18*12)</f>
        <v>93000</v>
      </c>
      <c r="D29" s="35">
        <f>140000-B19*12</f>
        <v>80000</v>
      </c>
    </row>
    <row r="30" ht="15.75" customHeight="1">
      <c r="A30" s="59" t="s">
        <v>170</v>
      </c>
      <c r="B30" s="60">
        <f t="shared" ref="B30:D30" si="1">B29/B28</f>
        <v>2.684210526</v>
      </c>
      <c r="C30" s="61">
        <f t="shared" si="1"/>
        <v>1.978723404</v>
      </c>
      <c r="D30" s="61">
        <f t="shared" si="1"/>
        <v>1.333333333</v>
      </c>
    </row>
    <row r="31" ht="15.75" customHeight="1">
      <c r="B31" s="47"/>
    </row>
    <row r="32" ht="15.75" customHeight="1">
      <c r="B32" s="47"/>
    </row>
    <row r="33" ht="18.0" customHeight="1">
      <c r="A33" s="19" t="s">
        <v>171</v>
      </c>
      <c r="B33" s="2"/>
      <c r="C33" s="2"/>
      <c r="D33" s="2"/>
      <c r="E33" s="2"/>
      <c r="F33" s="3"/>
    </row>
    <row r="34" ht="18.0" customHeight="1">
      <c r="A34" s="5" t="s">
        <v>172</v>
      </c>
      <c r="B34" s="5" t="s">
        <v>173</v>
      </c>
      <c r="C34" s="5" t="s">
        <v>174</v>
      </c>
      <c r="D34" s="5" t="s">
        <v>175</v>
      </c>
      <c r="E34" s="5" t="s">
        <v>176</v>
      </c>
      <c r="F34" s="5" t="s">
        <v>177</v>
      </c>
      <c r="G34" s="5" t="s">
        <v>178</v>
      </c>
    </row>
    <row r="35" ht="15.75" customHeight="1">
      <c r="A35" s="40" t="s">
        <v>179</v>
      </c>
      <c r="B35" s="41">
        <v>1.0</v>
      </c>
      <c r="C35" s="41">
        <v>0.0</v>
      </c>
      <c r="D35" s="30">
        <v>0.0</v>
      </c>
      <c r="E35" s="42">
        <f t="shared" ref="E35:E39" si="2">B35+C35+D35</f>
        <v>1</v>
      </c>
      <c r="F35" s="35">
        <f>B35*B17+C35*B18+D35*B19</f>
        <v>2500</v>
      </c>
      <c r="G35" s="62">
        <f>B35*B14+C35*B15+D35*B16</f>
        <v>8000</v>
      </c>
    </row>
    <row r="36" ht="15.75" customHeight="1">
      <c r="A36" s="44" t="s">
        <v>180</v>
      </c>
      <c r="B36" s="41">
        <v>2.0</v>
      </c>
      <c r="C36" s="41">
        <v>1.0</v>
      </c>
      <c r="D36" s="41">
        <v>0.0</v>
      </c>
      <c r="E36" s="45">
        <f t="shared" si="2"/>
        <v>3</v>
      </c>
      <c r="F36" s="35">
        <f>B36*B17+C36*B18+D36*B19</f>
        <v>8500</v>
      </c>
      <c r="G36" s="62">
        <f>B36*B14+C36*B15+D36*B16</f>
        <v>21000</v>
      </c>
    </row>
    <row r="37" ht="15.75" customHeight="1">
      <c r="A37" s="40" t="s">
        <v>181</v>
      </c>
      <c r="B37" s="41">
        <v>3.0</v>
      </c>
      <c r="C37" s="41">
        <v>1.0</v>
      </c>
      <c r="D37" s="41">
        <v>0.0</v>
      </c>
      <c r="E37" s="42">
        <f t="shared" si="2"/>
        <v>4</v>
      </c>
      <c r="F37" s="35">
        <f>B37*B17+C37*B18+D37*B19</f>
        <v>11000</v>
      </c>
      <c r="G37" s="62">
        <f>B37*B14+C37*B15+D37*B16</f>
        <v>29000</v>
      </c>
    </row>
    <row r="38" ht="15.75" customHeight="1">
      <c r="A38" s="44" t="s">
        <v>182</v>
      </c>
      <c r="B38" s="41">
        <v>3.0</v>
      </c>
      <c r="C38" s="41">
        <v>3.0</v>
      </c>
      <c r="D38" s="41">
        <v>1.0</v>
      </c>
      <c r="E38" s="45">
        <f t="shared" si="2"/>
        <v>7</v>
      </c>
      <c r="F38" s="35">
        <f>B38*B17+C38*B18+D38*B19</f>
        <v>23000</v>
      </c>
      <c r="G38" s="62">
        <f>B38*B14+C38*B15+D38*B16</f>
        <v>39000</v>
      </c>
    </row>
    <row r="39" ht="15.75" customHeight="1">
      <c r="A39" s="40" t="s">
        <v>183</v>
      </c>
      <c r="B39" s="41">
        <v>2.0</v>
      </c>
      <c r="C39" s="30">
        <v>5.0</v>
      </c>
      <c r="D39" s="30">
        <v>3.0</v>
      </c>
      <c r="E39" s="42">
        <f t="shared" si="2"/>
        <v>10</v>
      </c>
      <c r="F39" s="35">
        <f>B39*B17+C39*B18+D39*B19</f>
        <v>37500</v>
      </c>
      <c r="G39" s="62">
        <f>B39*B14+C39*B15+D39*B16</f>
        <v>41000</v>
      </c>
    </row>
    <row r="40" ht="15.75" customHeight="1">
      <c r="B40" s="47"/>
    </row>
    <row r="41" ht="18.0" customHeight="1">
      <c r="A41" s="63" t="s">
        <v>184</v>
      </c>
    </row>
    <row r="42" ht="15.75" customHeight="1">
      <c r="B42" s="47"/>
    </row>
    <row r="43" ht="15.75" customHeight="1">
      <c r="B43" s="47"/>
    </row>
    <row r="44" ht="15.75" customHeight="1">
      <c r="B44" s="47"/>
    </row>
    <row r="45" ht="15.75" customHeight="1">
      <c r="B45" s="47"/>
    </row>
    <row r="46" ht="15.75" customHeight="1">
      <c r="B46" s="47"/>
    </row>
    <row r="47" ht="15.75" customHeight="1">
      <c r="B47" s="47"/>
    </row>
    <row r="48" ht="15.75" customHeight="1">
      <c r="B48" s="47"/>
    </row>
    <row r="49" ht="15.75" customHeight="1">
      <c r="B49" s="47"/>
    </row>
    <row r="50" ht="15.75" customHeight="1">
      <c r="B50" s="47"/>
    </row>
    <row r="51" ht="15.75" customHeight="1">
      <c r="B51" s="47"/>
    </row>
    <row r="52" ht="15.75" customHeight="1">
      <c r="B52" s="47"/>
    </row>
    <row r="53" ht="15.75" customHeight="1">
      <c r="B53" s="47"/>
    </row>
    <row r="54" ht="15.75" customHeight="1">
      <c r="B54" s="47"/>
    </row>
    <row r="55" ht="15.75" customHeight="1">
      <c r="B55" s="47"/>
    </row>
    <row r="56" ht="15.75" customHeight="1">
      <c r="B56" s="47"/>
    </row>
    <row r="57" ht="15.75" customHeight="1">
      <c r="B57" s="47"/>
    </row>
    <row r="58" ht="15.75" customHeight="1">
      <c r="B58" s="47"/>
    </row>
    <row r="59" ht="15.75" customHeight="1">
      <c r="B59" s="47"/>
    </row>
    <row r="60" ht="15.75" customHeight="1">
      <c r="B60" s="47"/>
    </row>
    <row r="61" ht="15.75" customHeight="1">
      <c r="B61" s="47"/>
    </row>
    <row r="62" ht="15.75" customHeight="1">
      <c r="B62" s="47"/>
    </row>
    <row r="63" ht="15.75" customHeight="1">
      <c r="B63" s="47"/>
    </row>
    <row r="64" ht="15.75" customHeight="1">
      <c r="B64" s="47"/>
    </row>
    <row r="65" ht="15.75" customHeight="1">
      <c r="B65" s="47"/>
    </row>
    <row r="66" ht="15.75" customHeight="1">
      <c r="B66" s="47"/>
    </row>
    <row r="67" ht="15.75" customHeight="1">
      <c r="B67" s="47"/>
    </row>
    <row r="68" ht="15.75" customHeight="1">
      <c r="B68" s="47"/>
    </row>
    <row r="69" ht="15.75" customHeight="1">
      <c r="B69" s="47"/>
    </row>
    <row r="70" ht="15.75" customHeight="1">
      <c r="B70" s="47"/>
    </row>
    <row r="71" ht="15.75" customHeight="1">
      <c r="B71" s="47"/>
    </row>
    <row r="72" ht="15.75" customHeight="1">
      <c r="B72" s="47"/>
    </row>
    <row r="73" ht="15.75" customHeight="1">
      <c r="B73" s="47"/>
    </row>
    <row r="74" ht="15.75" customHeight="1">
      <c r="B74" s="47"/>
    </row>
    <row r="75" ht="15.75" customHeight="1">
      <c r="B75" s="47"/>
    </row>
    <row r="76" ht="15.75" customHeight="1">
      <c r="B76" s="47"/>
    </row>
    <row r="77" ht="15.75" customHeight="1">
      <c r="B77" s="47"/>
    </row>
    <row r="78" ht="15.75" customHeight="1">
      <c r="B78" s="47"/>
    </row>
    <row r="79" ht="15.75" customHeight="1">
      <c r="B79" s="47"/>
    </row>
    <row r="80" ht="15.75" customHeight="1">
      <c r="B80" s="47"/>
    </row>
    <row r="81" ht="15.75" customHeight="1">
      <c r="B81" s="47"/>
    </row>
    <row r="82" ht="15.75" customHeight="1">
      <c r="B82" s="47"/>
    </row>
    <row r="83" ht="15.75" customHeight="1">
      <c r="B83" s="47"/>
    </row>
    <row r="84" ht="15.75" customHeight="1">
      <c r="B84" s="47"/>
    </row>
    <row r="85" ht="15.75" customHeight="1">
      <c r="B85" s="47"/>
    </row>
    <row r="86" ht="15.75" customHeight="1">
      <c r="B86" s="47"/>
    </row>
    <row r="87" ht="15.75" customHeight="1">
      <c r="B87" s="47"/>
    </row>
    <row r="88" ht="15.75" customHeight="1">
      <c r="B88" s="47"/>
    </row>
    <row r="89" ht="15.75" customHeight="1">
      <c r="B89" s="47"/>
    </row>
    <row r="90" ht="15.75" customHeight="1">
      <c r="B90" s="47"/>
    </row>
    <row r="91" ht="15.75" customHeight="1">
      <c r="B91" s="47"/>
    </row>
    <row r="92" ht="15.75" customHeight="1">
      <c r="B92" s="47"/>
    </row>
    <row r="93" ht="15.75" customHeight="1">
      <c r="B93" s="47"/>
    </row>
    <row r="94" ht="15.75" customHeight="1">
      <c r="B94" s="47"/>
    </row>
    <row r="95" ht="15.75" customHeight="1">
      <c r="B95" s="47"/>
    </row>
    <row r="96" ht="15.75" customHeight="1">
      <c r="B96" s="47"/>
    </row>
    <row r="97" ht="15.75" customHeight="1">
      <c r="B97" s="47"/>
    </row>
    <row r="98" ht="15.75" customHeight="1">
      <c r="B98" s="47"/>
    </row>
    <row r="99" ht="15.75" customHeight="1">
      <c r="B99" s="47"/>
    </row>
    <row r="100" ht="15.75" customHeight="1">
      <c r="B100" s="47"/>
    </row>
    <row r="101" ht="15.75" customHeight="1">
      <c r="B101" s="47"/>
    </row>
    <row r="102" ht="15.75" customHeight="1">
      <c r="B102" s="47"/>
    </row>
    <row r="103" ht="15.75" customHeight="1">
      <c r="B103" s="47"/>
    </row>
    <row r="104" ht="15.75" customHeight="1">
      <c r="B104" s="47"/>
    </row>
    <row r="105" ht="15.75" customHeight="1">
      <c r="B105" s="47"/>
    </row>
    <row r="106" ht="15.75" customHeight="1">
      <c r="B106" s="47"/>
    </row>
    <row r="107" ht="15.75" customHeight="1">
      <c r="B107" s="47"/>
    </row>
    <row r="108" ht="15.75" customHeight="1">
      <c r="B108" s="47"/>
    </row>
    <row r="109" ht="15.75" customHeight="1">
      <c r="B109" s="47"/>
    </row>
    <row r="110" ht="15.75" customHeight="1">
      <c r="B110" s="47"/>
    </row>
    <row r="111" ht="15.75" customHeight="1">
      <c r="B111" s="47"/>
    </row>
    <row r="112" ht="15.75" customHeight="1">
      <c r="B112" s="47"/>
    </row>
    <row r="113" ht="15.75" customHeight="1">
      <c r="B113" s="47"/>
    </row>
    <row r="114" ht="15.75" customHeight="1">
      <c r="B114" s="47"/>
    </row>
    <row r="115" ht="15.75" customHeight="1">
      <c r="B115" s="47"/>
    </row>
    <row r="116" ht="15.75" customHeight="1">
      <c r="B116" s="47"/>
    </row>
    <row r="117" ht="15.75" customHeight="1">
      <c r="B117" s="47"/>
    </row>
    <row r="118" ht="15.75" customHeight="1">
      <c r="B118" s="47"/>
    </row>
    <row r="119" ht="15.75" customHeight="1">
      <c r="B119" s="47"/>
    </row>
    <row r="120" ht="15.75" customHeight="1">
      <c r="B120" s="47"/>
    </row>
    <row r="121" ht="15.75" customHeight="1">
      <c r="B121" s="47"/>
    </row>
    <row r="122" ht="15.75" customHeight="1">
      <c r="B122" s="47"/>
    </row>
    <row r="123" ht="15.75" customHeight="1">
      <c r="B123" s="47"/>
    </row>
    <row r="124" ht="15.75" customHeight="1">
      <c r="B124" s="47"/>
    </row>
    <row r="125" ht="15.75" customHeight="1">
      <c r="B125" s="47"/>
    </row>
    <row r="126" ht="15.75" customHeight="1">
      <c r="B126" s="47"/>
    </row>
    <row r="127" ht="15.75" customHeight="1">
      <c r="B127" s="47"/>
    </row>
    <row r="128" ht="15.75" customHeight="1">
      <c r="B128" s="47"/>
    </row>
    <row r="129" ht="15.75" customHeight="1">
      <c r="B129" s="47"/>
    </row>
    <row r="130" ht="15.75" customHeight="1">
      <c r="B130" s="47"/>
    </row>
    <row r="131" ht="15.75" customHeight="1">
      <c r="B131" s="47"/>
    </row>
    <row r="132" ht="15.75" customHeight="1">
      <c r="B132" s="47"/>
    </row>
    <row r="133" ht="15.75" customHeight="1">
      <c r="B133" s="47"/>
    </row>
    <row r="134" ht="15.75" customHeight="1">
      <c r="B134" s="47"/>
    </row>
    <row r="135" ht="15.75" customHeight="1">
      <c r="B135" s="47"/>
    </row>
    <row r="136" ht="15.75" customHeight="1">
      <c r="B136" s="47"/>
    </row>
    <row r="137" ht="15.75" customHeight="1">
      <c r="B137" s="47"/>
    </row>
    <row r="138" ht="15.75" customHeight="1">
      <c r="B138" s="47"/>
    </row>
    <row r="139" ht="15.75" customHeight="1">
      <c r="B139" s="47"/>
    </row>
    <row r="140" ht="15.75" customHeight="1">
      <c r="B140" s="47"/>
    </row>
    <row r="141" ht="15.75" customHeight="1">
      <c r="B141" s="47"/>
    </row>
    <row r="142" ht="15.75" customHeight="1">
      <c r="B142" s="47"/>
    </row>
    <row r="143" ht="15.75" customHeight="1">
      <c r="B143" s="47"/>
    </row>
    <row r="144" ht="15.75" customHeight="1">
      <c r="B144" s="47"/>
    </row>
    <row r="145" ht="15.75" customHeight="1">
      <c r="B145" s="47"/>
    </row>
    <row r="146" ht="15.75" customHeight="1">
      <c r="B146" s="47"/>
    </row>
    <row r="147" ht="15.75" customHeight="1">
      <c r="B147" s="47"/>
    </row>
    <row r="148" ht="15.75" customHeight="1">
      <c r="B148" s="47"/>
    </row>
    <row r="149" ht="15.75" customHeight="1">
      <c r="B149" s="47"/>
    </row>
    <row r="150" ht="15.75" customHeight="1">
      <c r="B150" s="47"/>
    </row>
    <row r="151" ht="15.75" customHeight="1">
      <c r="B151" s="47"/>
    </row>
    <row r="152" ht="15.75" customHeight="1">
      <c r="B152" s="47"/>
    </row>
    <row r="153" ht="15.75" customHeight="1">
      <c r="B153" s="47"/>
    </row>
    <row r="154" ht="15.75" customHeight="1">
      <c r="B154" s="47"/>
    </row>
    <row r="155" ht="15.75" customHeight="1">
      <c r="B155" s="47"/>
    </row>
    <row r="156" ht="15.75" customHeight="1">
      <c r="B156" s="47"/>
    </row>
    <row r="157" ht="15.75" customHeight="1">
      <c r="B157" s="47"/>
    </row>
    <row r="158" ht="15.75" customHeight="1">
      <c r="B158" s="47"/>
    </row>
    <row r="159" ht="15.75" customHeight="1">
      <c r="B159" s="47"/>
    </row>
    <row r="160" ht="15.75" customHeight="1">
      <c r="B160" s="47"/>
    </row>
    <row r="161" ht="15.75" customHeight="1">
      <c r="B161" s="47"/>
    </row>
    <row r="162" ht="15.75" customHeight="1">
      <c r="B162" s="47"/>
    </row>
    <row r="163" ht="15.75" customHeight="1">
      <c r="B163" s="47"/>
    </row>
    <row r="164" ht="15.75" customHeight="1">
      <c r="B164" s="47"/>
    </row>
    <row r="165" ht="15.75" customHeight="1">
      <c r="B165" s="47"/>
    </row>
    <row r="166" ht="15.75" customHeight="1">
      <c r="B166" s="47"/>
    </row>
    <row r="167" ht="15.75" customHeight="1">
      <c r="B167" s="47"/>
    </row>
    <row r="168" ht="15.75" customHeight="1">
      <c r="B168" s="47"/>
    </row>
    <row r="169" ht="15.75" customHeight="1">
      <c r="B169" s="47"/>
    </row>
    <row r="170" ht="15.75" customHeight="1">
      <c r="B170" s="47"/>
    </row>
    <row r="171" ht="15.75" customHeight="1">
      <c r="B171" s="47"/>
    </row>
    <row r="172" ht="15.75" customHeight="1">
      <c r="B172" s="47"/>
    </row>
    <row r="173" ht="15.75" customHeight="1">
      <c r="B173" s="47"/>
    </row>
    <row r="174" ht="15.75" customHeight="1">
      <c r="B174" s="47"/>
    </row>
    <row r="175" ht="15.75" customHeight="1">
      <c r="B175" s="47"/>
    </row>
    <row r="176" ht="15.75" customHeight="1">
      <c r="B176" s="47"/>
    </row>
    <row r="177" ht="15.75" customHeight="1">
      <c r="B177" s="47"/>
    </row>
    <row r="178" ht="15.75" customHeight="1">
      <c r="B178" s="47"/>
    </row>
    <row r="179" ht="15.75" customHeight="1">
      <c r="B179" s="47"/>
    </row>
    <row r="180" ht="15.75" customHeight="1">
      <c r="B180" s="47"/>
    </row>
    <row r="181" ht="15.75" customHeight="1">
      <c r="B181" s="47"/>
    </row>
    <row r="182" ht="15.75" customHeight="1">
      <c r="B182" s="47"/>
    </row>
    <row r="183" ht="15.75" customHeight="1">
      <c r="B183" s="47"/>
    </row>
    <row r="184" ht="15.75" customHeight="1">
      <c r="B184" s="47"/>
    </row>
    <row r="185" ht="15.75" customHeight="1">
      <c r="B185" s="47"/>
    </row>
    <row r="186" ht="15.75" customHeight="1">
      <c r="B186" s="47"/>
    </row>
    <row r="187" ht="15.75" customHeight="1">
      <c r="B187" s="47"/>
    </row>
    <row r="188" ht="15.75" customHeight="1">
      <c r="B188" s="47"/>
    </row>
    <row r="189" ht="15.75" customHeight="1">
      <c r="B189" s="47"/>
    </row>
    <row r="190" ht="15.75" customHeight="1">
      <c r="B190" s="47"/>
    </row>
    <row r="191" ht="15.75" customHeight="1">
      <c r="B191" s="47"/>
    </row>
    <row r="192" ht="15.75" customHeight="1">
      <c r="B192" s="47"/>
    </row>
    <row r="193" ht="15.75" customHeight="1">
      <c r="B193" s="47"/>
    </row>
    <row r="194" ht="15.75" customHeight="1">
      <c r="B194" s="47"/>
    </row>
    <row r="195" ht="15.75" customHeight="1">
      <c r="B195" s="47"/>
    </row>
    <row r="196" ht="15.75" customHeight="1">
      <c r="B196" s="47"/>
    </row>
    <row r="197" ht="15.75" customHeight="1">
      <c r="B197" s="47"/>
    </row>
    <row r="198" ht="15.75" customHeight="1">
      <c r="B198" s="47"/>
    </row>
    <row r="199" ht="15.75" customHeight="1">
      <c r="B199" s="47"/>
    </row>
    <row r="200" ht="15.75" customHeight="1">
      <c r="B200" s="47"/>
    </row>
    <row r="201" ht="15.75" customHeight="1">
      <c r="B201" s="47"/>
    </row>
    <row r="202" ht="15.75" customHeight="1">
      <c r="B202" s="47"/>
    </row>
    <row r="203" ht="15.75" customHeight="1">
      <c r="B203" s="47"/>
    </row>
    <row r="204" ht="15.75" customHeight="1">
      <c r="B204" s="47"/>
    </row>
    <row r="205" ht="15.75" customHeight="1">
      <c r="B205" s="47"/>
    </row>
    <row r="206" ht="15.75" customHeight="1">
      <c r="B206" s="47"/>
    </row>
    <row r="207" ht="15.75" customHeight="1">
      <c r="B207" s="47"/>
    </row>
    <row r="208" ht="15.75" customHeight="1">
      <c r="B208" s="47"/>
    </row>
    <row r="209" ht="15.75" customHeight="1">
      <c r="B209" s="47"/>
    </row>
    <row r="210" ht="15.75" customHeight="1">
      <c r="B210" s="47"/>
    </row>
    <row r="211" ht="15.75" customHeight="1">
      <c r="B211" s="47"/>
    </row>
    <row r="212" ht="15.75" customHeight="1">
      <c r="B212" s="47"/>
    </row>
    <row r="213" ht="15.75" customHeight="1">
      <c r="B213" s="47"/>
    </row>
    <row r="214" ht="15.75" customHeight="1">
      <c r="B214" s="47"/>
    </row>
    <row r="215" ht="15.75" customHeight="1">
      <c r="B215" s="47"/>
    </row>
    <row r="216" ht="15.75" customHeight="1">
      <c r="B216" s="47"/>
    </row>
    <row r="217" ht="15.75" customHeight="1">
      <c r="B217" s="47"/>
    </row>
    <row r="218" ht="15.75" customHeight="1">
      <c r="B218" s="47"/>
    </row>
    <row r="219" ht="15.75" customHeight="1">
      <c r="B219" s="47"/>
    </row>
    <row r="220" ht="15.75" customHeight="1">
      <c r="B220" s="47"/>
    </row>
    <row r="221" ht="15.75" customHeight="1">
      <c r="B221" s="47"/>
    </row>
    <row r="222" ht="15.75" customHeight="1">
      <c r="B222" s="47"/>
    </row>
    <row r="223" ht="15.75" customHeight="1">
      <c r="B223" s="47"/>
    </row>
    <row r="224" ht="15.75" customHeight="1">
      <c r="B224" s="47"/>
    </row>
    <row r="225" ht="15.75" customHeight="1">
      <c r="B225" s="47"/>
    </row>
    <row r="226" ht="15.75" customHeight="1">
      <c r="B226" s="47"/>
    </row>
    <row r="227" ht="15.75" customHeight="1">
      <c r="B227" s="47"/>
    </row>
    <row r="228" ht="15.75" customHeight="1">
      <c r="B228" s="47"/>
    </row>
    <row r="229" ht="15.75" customHeight="1">
      <c r="B229" s="47"/>
    </row>
    <row r="230" ht="15.75" customHeight="1">
      <c r="B230" s="47"/>
    </row>
    <row r="231" ht="15.75" customHeight="1">
      <c r="B231" s="47"/>
    </row>
    <row r="232" ht="15.75" customHeight="1">
      <c r="B232" s="47"/>
    </row>
    <row r="233" ht="15.75" customHeight="1">
      <c r="B233" s="47"/>
    </row>
    <row r="234" ht="15.75" customHeight="1">
      <c r="B234" s="47"/>
    </row>
    <row r="235" ht="15.75" customHeight="1">
      <c r="B235" s="47"/>
    </row>
    <row r="236" ht="15.75" customHeight="1">
      <c r="B236" s="47"/>
    </row>
    <row r="237" ht="15.75" customHeight="1">
      <c r="B237" s="47"/>
    </row>
    <row r="238" ht="15.75" customHeight="1">
      <c r="B238" s="47"/>
    </row>
    <row r="239" ht="15.75" customHeight="1">
      <c r="B239" s="47"/>
    </row>
    <row r="240" ht="15.75" customHeight="1">
      <c r="B240" s="47"/>
    </row>
    <row r="241" ht="15.75" customHeight="1">
      <c r="B241" s="47"/>
    </row>
    <row r="242" ht="15.75" customHeight="1">
      <c r="B242" s="47"/>
    </row>
    <row r="243" ht="15.75" customHeight="1">
      <c r="B243" s="47"/>
    </row>
    <row r="244" ht="15.75" customHeight="1">
      <c r="B244" s="47"/>
    </row>
    <row r="245" ht="15.75" customHeight="1">
      <c r="B245" s="47"/>
    </row>
    <row r="246" ht="15.75" customHeight="1">
      <c r="B246" s="47"/>
    </row>
    <row r="247" ht="15.75" customHeight="1">
      <c r="B247" s="47"/>
    </row>
    <row r="248" ht="15.75" customHeight="1">
      <c r="B248" s="47"/>
    </row>
    <row r="249" ht="15.75" customHeight="1">
      <c r="B249" s="47"/>
    </row>
    <row r="250" ht="15.75" customHeight="1">
      <c r="B250" s="47"/>
    </row>
    <row r="251" ht="15.75" customHeight="1">
      <c r="B251" s="47"/>
    </row>
    <row r="252" ht="15.75" customHeight="1">
      <c r="B252" s="47"/>
    </row>
    <row r="253" ht="15.75" customHeight="1">
      <c r="B253" s="47"/>
    </row>
    <row r="254" ht="15.75" customHeight="1">
      <c r="B254" s="47"/>
    </row>
    <row r="255" ht="15.75" customHeight="1">
      <c r="B255" s="47"/>
    </row>
    <row r="256" ht="15.75" customHeight="1">
      <c r="B256" s="47"/>
    </row>
    <row r="257" ht="15.75" customHeight="1">
      <c r="B257" s="47"/>
    </row>
    <row r="258" ht="15.75" customHeight="1">
      <c r="B258" s="47"/>
    </row>
    <row r="259" ht="15.75" customHeight="1">
      <c r="B259" s="47"/>
    </row>
    <row r="260" ht="15.75" customHeight="1">
      <c r="B260" s="47"/>
    </row>
    <row r="261" ht="15.75" customHeight="1">
      <c r="B261" s="47"/>
    </row>
    <row r="262" ht="15.75" customHeight="1">
      <c r="B262" s="47"/>
    </row>
    <row r="263" ht="15.75" customHeight="1">
      <c r="B263" s="47"/>
    </row>
    <row r="264" ht="15.75" customHeight="1">
      <c r="B264" s="47"/>
    </row>
    <row r="265" ht="15.75" customHeight="1">
      <c r="B265" s="47"/>
    </row>
    <row r="266" ht="15.75" customHeight="1">
      <c r="B266" s="47"/>
    </row>
    <row r="267" ht="15.75" customHeight="1">
      <c r="B267" s="47"/>
    </row>
    <row r="268" ht="15.75" customHeight="1">
      <c r="B268" s="47"/>
    </row>
    <row r="269" ht="15.75" customHeight="1">
      <c r="B269" s="47"/>
    </row>
    <row r="270" ht="15.75" customHeight="1">
      <c r="B270" s="47"/>
    </row>
    <row r="271" ht="15.75" customHeight="1">
      <c r="B271" s="47"/>
    </row>
    <row r="272" ht="15.75" customHeight="1">
      <c r="B272" s="47"/>
    </row>
    <row r="273" ht="15.75" customHeight="1">
      <c r="B273" s="47"/>
    </row>
    <row r="274" ht="15.75" customHeight="1">
      <c r="B274" s="47"/>
    </row>
    <row r="275" ht="15.75" customHeight="1">
      <c r="B275" s="47"/>
    </row>
    <row r="276" ht="15.75" customHeight="1">
      <c r="B276" s="47"/>
    </row>
    <row r="277" ht="15.75" customHeight="1">
      <c r="B277" s="47"/>
    </row>
    <row r="278" ht="15.75" customHeight="1">
      <c r="B278" s="47"/>
    </row>
    <row r="279" ht="15.75" customHeight="1">
      <c r="B279" s="47"/>
    </row>
    <row r="280" ht="15.75" customHeight="1">
      <c r="B280" s="47"/>
    </row>
    <row r="281" ht="15.75" customHeight="1">
      <c r="B281" s="47"/>
    </row>
    <row r="282" ht="15.75" customHeight="1">
      <c r="B282" s="47"/>
    </row>
    <row r="283" ht="15.75" customHeight="1">
      <c r="B283" s="47"/>
    </row>
    <row r="284" ht="15.75" customHeight="1">
      <c r="B284" s="47"/>
    </row>
    <row r="285" ht="15.75" customHeight="1">
      <c r="B285" s="47"/>
    </row>
    <row r="286" ht="15.75" customHeight="1">
      <c r="B286" s="47"/>
    </row>
    <row r="287" ht="15.75" customHeight="1">
      <c r="B287" s="47"/>
    </row>
    <row r="288" ht="15.75" customHeight="1">
      <c r="B288" s="47"/>
    </row>
    <row r="289" ht="15.75" customHeight="1">
      <c r="B289" s="47"/>
    </row>
    <row r="290" ht="15.75" customHeight="1">
      <c r="B290" s="47"/>
    </row>
    <row r="291" ht="15.75" customHeight="1">
      <c r="B291" s="47"/>
    </row>
    <row r="292" ht="15.75" customHeight="1">
      <c r="B292" s="47"/>
    </row>
    <row r="293" ht="15.75" customHeight="1">
      <c r="B293" s="47"/>
    </row>
    <row r="294" ht="15.75" customHeight="1">
      <c r="B294" s="47"/>
    </row>
    <row r="295" ht="15.75" customHeight="1">
      <c r="B295" s="47"/>
    </row>
    <row r="296" ht="15.75" customHeight="1">
      <c r="B296" s="47"/>
    </row>
    <row r="297" ht="15.75" customHeight="1">
      <c r="B297" s="47"/>
    </row>
    <row r="298" ht="15.75" customHeight="1">
      <c r="B298" s="47"/>
    </row>
    <row r="299" ht="15.75" customHeight="1">
      <c r="B299" s="47"/>
    </row>
    <row r="300" ht="15.75" customHeight="1">
      <c r="B300" s="47"/>
    </row>
    <row r="301" ht="15.75" customHeight="1">
      <c r="B301" s="47"/>
    </row>
    <row r="302" ht="15.75" customHeight="1">
      <c r="B302" s="47"/>
    </row>
    <row r="303" ht="15.75" customHeight="1">
      <c r="B303" s="47"/>
    </row>
    <row r="304" ht="15.75" customHeight="1">
      <c r="B304" s="47"/>
    </row>
    <row r="305" ht="15.75" customHeight="1">
      <c r="B305" s="47"/>
    </row>
    <row r="306" ht="15.75" customHeight="1">
      <c r="B306" s="47"/>
    </row>
    <row r="307" ht="15.75" customHeight="1">
      <c r="B307" s="47"/>
    </row>
    <row r="308" ht="15.75" customHeight="1">
      <c r="B308" s="47"/>
    </row>
    <row r="309" ht="15.75" customHeight="1">
      <c r="B309" s="47"/>
    </row>
    <row r="310" ht="15.75" customHeight="1">
      <c r="B310" s="47"/>
    </row>
    <row r="311" ht="15.75" customHeight="1">
      <c r="B311" s="47"/>
    </row>
    <row r="312" ht="15.75" customHeight="1">
      <c r="B312" s="47"/>
    </row>
    <row r="313" ht="15.75" customHeight="1">
      <c r="B313" s="47"/>
    </row>
    <row r="314" ht="15.75" customHeight="1">
      <c r="B314" s="47"/>
    </row>
    <row r="315" ht="15.75" customHeight="1">
      <c r="B315" s="47"/>
    </row>
    <row r="316" ht="15.75" customHeight="1">
      <c r="B316" s="47"/>
    </row>
    <row r="317" ht="15.75" customHeight="1">
      <c r="B317" s="47"/>
    </row>
    <row r="318" ht="15.75" customHeight="1">
      <c r="B318" s="47"/>
    </row>
    <row r="319" ht="15.75" customHeight="1">
      <c r="B319" s="47"/>
    </row>
    <row r="320" ht="15.75" customHeight="1">
      <c r="B320" s="47"/>
    </row>
    <row r="321" ht="15.75" customHeight="1">
      <c r="B321" s="47"/>
    </row>
    <row r="322" ht="15.75" customHeight="1">
      <c r="B322" s="47"/>
    </row>
    <row r="323" ht="15.75" customHeight="1">
      <c r="B323" s="47"/>
    </row>
    <row r="324" ht="15.75" customHeight="1">
      <c r="B324" s="47"/>
    </row>
    <row r="325" ht="15.75" customHeight="1">
      <c r="B325" s="47"/>
    </row>
    <row r="326" ht="15.75" customHeight="1">
      <c r="B326" s="47"/>
    </row>
    <row r="327" ht="15.75" customHeight="1">
      <c r="B327" s="47"/>
    </row>
    <row r="328" ht="15.75" customHeight="1">
      <c r="B328" s="47"/>
    </row>
    <row r="329" ht="15.75" customHeight="1">
      <c r="B329" s="47"/>
    </row>
    <row r="330" ht="15.75" customHeight="1">
      <c r="B330" s="47"/>
    </row>
    <row r="331" ht="15.75" customHeight="1">
      <c r="B331" s="47"/>
    </row>
    <row r="332" ht="15.75" customHeight="1">
      <c r="B332" s="47"/>
    </row>
    <row r="333" ht="15.75" customHeight="1">
      <c r="B333" s="47"/>
    </row>
    <row r="334" ht="15.75" customHeight="1">
      <c r="B334" s="47"/>
    </row>
    <row r="335" ht="15.75" customHeight="1">
      <c r="B335" s="47"/>
    </row>
    <row r="336" ht="15.75" customHeight="1">
      <c r="B336" s="47"/>
    </row>
    <row r="337" ht="15.75" customHeight="1">
      <c r="B337" s="47"/>
    </row>
    <row r="338" ht="15.75" customHeight="1">
      <c r="B338" s="47"/>
    </row>
    <row r="339" ht="15.75" customHeight="1">
      <c r="B339" s="47"/>
    </row>
    <row r="340" ht="15.75" customHeight="1">
      <c r="B340" s="47"/>
    </row>
    <row r="341" ht="15.75" customHeight="1">
      <c r="B341" s="47"/>
    </row>
    <row r="342" ht="15.75" customHeight="1">
      <c r="B342" s="47"/>
    </row>
    <row r="343" ht="15.75" customHeight="1">
      <c r="B343" s="47"/>
    </row>
    <row r="344" ht="15.75" customHeight="1">
      <c r="B344" s="47"/>
    </row>
    <row r="345" ht="15.75" customHeight="1">
      <c r="B345" s="47"/>
    </row>
    <row r="346" ht="15.75" customHeight="1">
      <c r="B346" s="47"/>
    </row>
    <row r="347" ht="15.75" customHeight="1">
      <c r="B347" s="47"/>
    </row>
    <row r="348" ht="15.75" customHeight="1">
      <c r="B348" s="47"/>
    </row>
    <row r="349" ht="15.75" customHeight="1">
      <c r="B349" s="47"/>
    </row>
    <row r="350" ht="15.75" customHeight="1">
      <c r="B350" s="47"/>
    </row>
    <row r="351" ht="15.75" customHeight="1">
      <c r="B351" s="47"/>
    </row>
    <row r="352" ht="15.75" customHeight="1">
      <c r="B352" s="47"/>
    </row>
    <row r="353" ht="15.75" customHeight="1">
      <c r="B353" s="47"/>
    </row>
    <row r="354" ht="15.75" customHeight="1">
      <c r="B354" s="47"/>
    </row>
    <row r="355" ht="15.75" customHeight="1">
      <c r="B355" s="47"/>
    </row>
    <row r="356" ht="15.75" customHeight="1">
      <c r="B356" s="47"/>
    </row>
    <row r="357" ht="15.75" customHeight="1">
      <c r="B357" s="47"/>
    </row>
    <row r="358" ht="15.75" customHeight="1">
      <c r="B358" s="47"/>
    </row>
    <row r="359" ht="15.75" customHeight="1">
      <c r="B359" s="47"/>
    </row>
    <row r="360" ht="15.75" customHeight="1">
      <c r="B360" s="47"/>
    </row>
    <row r="361" ht="15.75" customHeight="1">
      <c r="B361" s="47"/>
    </row>
    <row r="362" ht="15.75" customHeight="1">
      <c r="B362" s="47"/>
    </row>
    <row r="363" ht="15.75" customHeight="1">
      <c r="B363" s="47"/>
    </row>
    <row r="364" ht="15.75" customHeight="1">
      <c r="B364" s="47"/>
    </row>
    <row r="365" ht="15.75" customHeight="1">
      <c r="B365" s="47"/>
    </row>
    <row r="366" ht="15.75" customHeight="1">
      <c r="B366" s="47"/>
    </row>
    <row r="367" ht="15.75" customHeight="1">
      <c r="B367" s="47"/>
    </row>
    <row r="368" ht="15.75" customHeight="1">
      <c r="B368" s="47"/>
    </row>
    <row r="369" ht="15.75" customHeight="1">
      <c r="B369" s="47"/>
    </row>
    <row r="370" ht="15.75" customHeight="1">
      <c r="B370" s="47"/>
    </row>
    <row r="371" ht="15.75" customHeight="1">
      <c r="B371" s="47"/>
    </row>
    <row r="372" ht="15.75" customHeight="1">
      <c r="B372" s="47"/>
    </row>
    <row r="373" ht="15.75" customHeight="1">
      <c r="B373" s="47"/>
    </row>
    <row r="374" ht="15.75" customHeight="1">
      <c r="B374" s="47"/>
    </row>
    <row r="375" ht="15.75" customHeight="1">
      <c r="B375" s="47"/>
    </row>
    <row r="376" ht="15.75" customHeight="1">
      <c r="B376" s="47"/>
    </row>
    <row r="377" ht="15.75" customHeight="1">
      <c r="B377" s="47"/>
    </row>
    <row r="378" ht="15.75" customHeight="1">
      <c r="B378" s="47"/>
    </row>
    <row r="379" ht="15.75" customHeight="1">
      <c r="B379" s="47"/>
    </row>
    <row r="380" ht="15.75" customHeight="1">
      <c r="B380" s="47"/>
    </row>
    <row r="381" ht="15.75" customHeight="1">
      <c r="B381" s="47"/>
    </row>
    <row r="382" ht="15.75" customHeight="1">
      <c r="B382" s="47"/>
    </row>
    <row r="383" ht="15.75" customHeight="1">
      <c r="B383" s="47"/>
    </row>
    <row r="384" ht="15.75" customHeight="1">
      <c r="B384" s="47"/>
    </row>
    <row r="385" ht="15.75" customHeight="1">
      <c r="B385" s="47"/>
    </row>
    <row r="386" ht="15.75" customHeight="1">
      <c r="B386" s="47"/>
    </row>
    <row r="387" ht="15.75" customHeight="1">
      <c r="B387" s="47"/>
    </row>
    <row r="388" ht="15.75" customHeight="1">
      <c r="B388" s="47"/>
    </row>
    <row r="389" ht="15.75" customHeight="1">
      <c r="B389" s="47"/>
    </row>
    <row r="390" ht="15.75" customHeight="1">
      <c r="B390" s="47"/>
    </row>
    <row r="391" ht="15.75" customHeight="1">
      <c r="B391" s="47"/>
    </row>
    <row r="392" ht="15.75" customHeight="1">
      <c r="B392" s="47"/>
    </row>
    <row r="393" ht="15.75" customHeight="1">
      <c r="B393" s="47"/>
    </row>
    <row r="394" ht="15.75" customHeight="1">
      <c r="B394" s="47"/>
    </row>
    <row r="395" ht="15.75" customHeight="1">
      <c r="B395" s="47"/>
    </row>
    <row r="396" ht="15.75" customHeight="1">
      <c r="B396" s="47"/>
    </row>
    <row r="397" ht="15.75" customHeight="1">
      <c r="B397" s="47"/>
    </row>
    <row r="398" ht="15.75" customHeight="1">
      <c r="B398" s="47"/>
    </row>
    <row r="399" ht="15.75" customHeight="1">
      <c r="B399" s="47"/>
    </row>
    <row r="400" ht="15.75" customHeight="1">
      <c r="B400" s="47"/>
    </row>
    <row r="401" ht="15.75" customHeight="1">
      <c r="B401" s="47"/>
    </row>
    <row r="402" ht="15.75" customHeight="1">
      <c r="B402" s="47"/>
    </row>
    <row r="403" ht="15.75" customHeight="1">
      <c r="B403" s="47"/>
    </row>
    <row r="404" ht="15.75" customHeight="1">
      <c r="B404" s="47"/>
    </row>
    <row r="405" ht="15.75" customHeight="1">
      <c r="B405" s="47"/>
    </row>
    <row r="406" ht="15.75" customHeight="1">
      <c r="B406" s="47"/>
    </row>
    <row r="407" ht="15.75" customHeight="1">
      <c r="B407" s="47"/>
    </row>
    <row r="408" ht="15.75" customHeight="1">
      <c r="B408" s="47"/>
    </row>
    <row r="409" ht="15.75" customHeight="1">
      <c r="B409" s="47"/>
    </row>
    <row r="410" ht="15.75" customHeight="1">
      <c r="B410" s="47"/>
    </row>
    <row r="411" ht="15.75" customHeight="1">
      <c r="B411" s="47"/>
    </row>
    <row r="412" ht="15.75" customHeight="1">
      <c r="B412" s="47"/>
    </row>
    <row r="413" ht="15.75" customHeight="1">
      <c r="B413" s="47"/>
    </row>
    <row r="414" ht="15.75" customHeight="1">
      <c r="B414" s="47"/>
    </row>
    <row r="415" ht="15.75" customHeight="1">
      <c r="B415" s="47"/>
    </row>
    <row r="416" ht="15.75" customHeight="1">
      <c r="B416" s="47"/>
    </row>
    <row r="417" ht="15.75" customHeight="1">
      <c r="B417" s="47"/>
    </row>
    <row r="418" ht="15.75" customHeight="1">
      <c r="B418" s="47"/>
    </row>
    <row r="419" ht="15.75" customHeight="1">
      <c r="B419" s="47"/>
    </row>
    <row r="420" ht="15.75" customHeight="1">
      <c r="B420" s="47"/>
    </row>
    <row r="421" ht="15.75" customHeight="1">
      <c r="B421" s="47"/>
    </row>
    <row r="422" ht="15.75" customHeight="1">
      <c r="B422" s="47"/>
    </row>
    <row r="423" ht="15.75" customHeight="1">
      <c r="B423" s="47"/>
    </row>
    <row r="424" ht="15.75" customHeight="1">
      <c r="B424" s="47"/>
    </row>
    <row r="425" ht="15.75" customHeight="1">
      <c r="B425" s="47"/>
    </row>
    <row r="426" ht="15.75" customHeight="1">
      <c r="B426" s="47"/>
    </row>
    <row r="427" ht="15.75" customHeight="1">
      <c r="B427" s="47"/>
    </row>
    <row r="428" ht="15.75" customHeight="1">
      <c r="B428" s="47"/>
    </row>
    <row r="429" ht="15.75" customHeight="1">
      <c r="B429" s="47"/>
    </row>
    <row r="430" ht="15.75" customHeight="1">
      <c r="B430" s="47"/>
    </row>
    <row r="431" ht="15.75" customHeight="1">
      <c r="B431" s="47"/>
    </row>
    <row r="432" ht="15.75" customHeight="1">
      <c r="B432" s="47"/>
    </row>
    <row r="433" ht="15.75" customHeight="1">
      <c r="B433" s="47"/>
    </row>
    <row r="434" ht="15.75" customHeight="1">
      <c r="B434" s="47"/>
    </row>
    <row r="435" ht="15.75" customHeight="1">
      <c r="B435" s="47"/>
    </row>
    <row r="436" ht="15.75" customHeight="1">
      <c r="B436" s="47"/>
    </row>
    <row r="437" ht="15.75" customHeight="1">
      <c r="B437" s="47"/>
    </row>
    <row r="438" ht="15.75" customHeight="1">
      <c r="B438" s="47"/>
    </row>
    <row r="439" ht="15.75" customHeight="1">
      <c r="B439" s="47"/>
    </row>
    <row r="440" ht="15.75" customHeight="1">
      <c r="B440" s="47"/>
    </row>
    <row r="441" ht="15.75" customHeight="1">
      <c r="B441" s="47"/>
    </row>
    <row r="442" ht="15.75" customHeight="1">
      <c r="B442" s="47"/>
    </row>
    <row r="443" ht="15.75" customHeight="1">
      <c r="B443" s="47"/>
    </row>
    <row r="444" ht="15.75" customHeight="1">
      <c r="B444" s="47"/>
    </row>
    <row r="445" ht="15.75" customHeight="1">
      <c r="B445" s="47"/>
    </row>
    <row r="446" ht="15.75" customHeight="1">
      <c r="B446" s="47"/>
    </row>
    <row r="447" ht="15.75" customHeight="1">
      <c r="B447" s="47"/>
    </row>
    <row r="448" ht="15.75" customHeight="1">
      <c r="B448" s="47"/>
    </row>
    <row r="449" ht="15.75" customHeight="1">
      <c r="B449" s="47"/>
    </row>
    <row r="450" ht="15.75" customHeight="1">
      <c r="B450" s="47"/>
    </row>
    <row r="451" ht="15.75" customHeight="1">
      <c r="B451" s="47"/>
    </row>
    <row r="452" ht="15.75" customHeight="1">
      <c r="B452" s="47"/>
    </row>
    <row r="453" ht="15.75" customHeight="1">
      <c r="B453" s="47"/>
    </row>
    <row r="454" ht="15.75" customHeight="1">
      <c r="B454" s="47"/>
    </row>
    <row r="455" ht="15.75" customHeight="1">
      <c r="B455" s="47"/>
    </row>
    <row r="456" ht="15.75" customHeight="1">
      <c r="B456" s="47"/>
    </row>
    <row r="457" ht="15.75" customHeight="1">
      <c r="B457" s="47"/>
    </row>
    <row r="458" ht="15.75" customHeight="1">
      <c r="B458" s="47"/>
    </row>
    <row r="459" ht="15.75" customHeight="1">
      <c r="B459" s="47"/>
    </row>
    <row r="460" ht="15.75" customHeight="1">
      <c r="B460" s="47"/>
    </row>
    <row r="461" ht="15.75" customHeight="1">
      <c r="B461" s="47"/>
    </row>
    <row r="462" ht="15.75" customHeight="1">
      <c r="B462" s="47"/>
    </row>
    <row r="463" ht="15.75" customHeight="1">
      <c r="B463" s="47"/>
    </row>
    <row r="464" ht="15.75" customHeight="1">
      <c r="B464" s="47"/>
    </row>
    <row r="465" ht="15.75" customHeight="1">
      <c r="B465" s="47"/>
    </row>
    <row r="466" ht="15.75" customHeight="1">
      <c r="B466" s="47"/>
    </row>
    <row r="467" ht="15.75" customHeight="1">
      <c r="B467" s="47"/>
    </row>
    <row r="468" ht="15.75" customHeight="1">
      <c r="B468" s="47"/>
    </row>
    <row r="469" ht="15.75" customHeight="1">
      <c r="B469" s="47"/>
    </row>
    <row r="470" ht="15.75" customHeight="1">
      <c r="B470" s="47"/>
    </row>
    <row r="471" ht="15.75" customHeight="1">
      <c r="B471" s="47"/>
    </row>
    <row r="472" ht="15.75" customHeight="1">
      <c r="B472" s="47"/>
    </row>
    <row r="473" ht="15.75" customHeight="1">
      <c r="B473" s="47"/>
    </row>
    <row r="474" ht="15.75" customHeight="1">
      <c r="B474" s="47"/>
    </row>
    <row r="475" ht="15.75" customHeight="1">
      <c r="B475" s="47"/>
    </row>
    <row r="476" ht="15.75" customHeight="1">
      <c r="B476" s="47"/>
    </row>
    <row r="477" ht="15.75" customHeight="1">
      <c r="B477" s="47"/>
    </row>
    <row r="478" ht="15.75" customHeight="1">
      <c r="B478" s="47"/>
    </row>
    <row r="479" ht="15.75" customHeight="1">
      <c r="B479" s="47"/>
    </row>
    <row r="480" ht="15.75" customHeight="1">
      <c r="B480" s="47"/>
    </row>
    <row r="481" ht="15.75" customHeight="1">
      <c r="B481" s="47"/>
    </row>
    <row r="482" ht="15.75" customHeight="1">
      <c r="B482" s="47"/>
    </row>
    <row r="483" ht="15.75" customHeight="1">
      <c r="B483" s="47"/>
    </row>
    <row r="484" ht="15.75" customHeight="1">
      <c r="B484" s="47"/>
    </row>
    <row r="485" ht="15.75" customHeight="1">
      <c r="B485" s="47"/>
    </row>
    <row r="486" ht="15.75" customHeight="1">
      <c r="B486" s="47"/>
    </row>
    <row r="487" ht="15.75" customHeight="1">
      <c r="B487" s="47"/>
    </row>
    <row r="488" ht="15.75" customHeight="1">
      <c r="B488" s="47"/>
    </row>
    <row r="489" ht="15.75" customHeight="1">
      <c r="B489" s="47"/>
    </row>
    <row r="490" ht="15.75" customHeight="1">
      <c r="B490" s="47"/>
    </row>
    <row r="491" ht="15.75" customHeight="1">
      <c r="B491" s="47"/>
    </row>
    <row r="492" ht="15.75" customHeight="1">
      <c r="B492" s="47"/>
    </row>
    <row r="493" ht="15.75" customHeight="1">
      <c r="B493" s="47"/>
    </row>
    <row r="494" ht="15.75" customHeight="1">
      <c r="B494" s="47"/>
    </row>
    <row r="495" ht="15.75" customHeight="1">
      <c r="B495" s="47"/>
    </row>
    <row r="496" ht="15.75" customHeight="1">
      <c r="B496" s="47"/>
    </row>
    <row r="497" ht="15.75" customHeight="1">
      <c r="B497" s="47"/>
    </row>
    <row r="498" ht="15.75" customHeight="1">
      <c r="B498" s="47"/>
    </row>
    <row r="499" ht="15.75" customHeight="1">
      <c r="B499" s="47"/>
    </row>
    <row r="500" ht="15.75" customHeight="1">
      <c r="B500" s="47"/>
    </row>
    <row r="501" ht="15.75" customHeight="1">
      <c r="B501" s="47"/>
    </row>
    <row r="502" ht="15.75" customHeight="1">
      <c r="B502" s="47"/>
    </row>
    <row r="503" ht="15.75" customHeight="1">
      <c r="B503" s="47"/>
    </row>
    <row r="504" ht="15.75" customHeight="1">
      <c r="B504" s="47"/>
    </row>
    <row r="505" ht="15.75" customHeight="1">
      <c r="B505" s="47"/>
    </row>
    <row r="506" ht="15.75" customHeight="1">
      <c r="B506" s="47"/>
    </row>
    <row r="507" ht="15.75" customHeight="1">
      <c r="B507" s="47"/>
    </row>
    <row r="508" ht="15.75" customHeight="1">
      <c r="B508" s="47"/>
    </row>
    <row r="509" ht="15.75" customHeight="1">
      <c r="B509" s="47"/>
    </row>
    <row r="510" ht="15.75" customHeight="1">
      <c r="B510" s="47"/>
    </row>
    <row r="511" ht="15.75" customHeight="1">
      <c r="B511" s="47"/>
    </row>
    <row r="512" ht="15.75" customHeight="1">
      <c r="B512" s="47"/>
    </row>
    <row r="513" ht="15.75" customHeight="1">
      <c r="B513" s="47"/>
    </row>
    <row r="514" ht="15.75" customHeight="1">
      <c r="B514" s="47"/>
    </row>
    <row r="515" ht="15.75" customHeight="1">
      <c r="B515" s="47"/>
    </row>
    <row r="516" ht="15.75" customHeight="1">
      <c r="B516" s="47"/>
    </row>
    <row r="517" ht="15.75" customHeight="1">
      <c r="B517" s="47"/>
    </row>
    <row r="518" ht="15.75" customHeight="1">
      <c r="B518" s="47"/>
    </row>
    <row r="519" ht="15.75" customHeight="1">
      <c r="B519" s="47"/>
    </row>
    <row r="520" ht="15.75" customHeight="1">
      <c r="B520" s="47"/>
    </row>
    <row r="521" ht="15.75" customHeight="1">
      <c r="B521" s="47"/>
    </row>
    <row r="522" ht="15.75" customHeight="1">
      <c r="B522" s="47"/>
    </row>
    <row r="523" ht="15.75" customHeight="1">
      <c r="B523" s="47"/>
    </row>
    <row r="524" ht="15.75" customHeight="1">
      <c r="B524" s="47"/>
    </row>
    <row r="525" ht="15.75" customHeight="1">
      <c r="B525" s="47"/>
    </row>
    <row r="526" ht="15.75" customHeight="1">
      <c r="B526" s="47"/>
    </row>
    <row r="527" ht="15.75" customHeight="1">
      <c r="B527" s="47"/>
    </row>
    <row r="528" ht="15.75" customHeight="1">
      <c r="B528" s="47"/>
    </row>
    <row r="529" ht="15.75" customHeight="1">
      <c r="B529" s="47"/>
    </row>
    <row r="530" ht="15.75" customHeight="1">
      <c r="B530" s="47"/>
    </row>
    <row r="531" ht="15.75" customHeight="1">
      <c r="B531" s="47"/>
    </row>
    <row r="532" ht="15.75" customHeight="1">
      <c r="B532" s="47"/>
    </row>
    <row r="533" ht="15.75" customHeight="1">
      <c r="B533" s="47"/>
    </row>
    <row r="534" ht="15.75" customHeight="1">
      <c r="B534" s="47"/>
    </row>
    <row r="535" ht="15.75" customHeight="1">
      <c r="B535" s="47"/>
    </row>
    <row r="536" ht="15.75" customHeight="1">
      <c r="B536" s="47"/>
    </row>
    <row r="537" ht="15.75" customHeight="1">
      <c r="B537" s="47"/>
    </row>
    <row r="538" ht="15.75" customHeight="1">
      <c r="B538" s="47"/>
    </row>
    <row r="539" ht="15.75" customHeight="1">
      <c r="B539" s="47"/>
    </row>
    <row r="540" ht="15.75" customHeight="1">
      <c r="B540" s="47"/>
    </row>
    <row r="541" ht="15.75" customHeight="1">
      <c r="B541" s="47"/>
    </row>
    <row r="542" ht="15.75" customHeight="1">
      <c r="B542" s="47"/>
    </row>
    <row r="543" ht="15.75" customHeight="1">
      <c r="B543" s="47"/>
    </row>
    <row r="544" ht="15.75" customHeight="1">
      <c r="B544" s="47"/>
    </row>
    <row r="545" ht="15.75" customHeight="1">
      <c r="B545" s="47"/>
    </row>
    <row r="546" ht="15.75" customHeight="1">
      <c r="B546" s="47"/>
    </row>
    <row r="547" ht="15.75" customHeight="1">
      <c r="B547" s="47"/>
    </row>
    <row r="548" ht="15.75" customHeight="1">
      <c r="B548" s="47"/>
    </row>
    <row r="549" ht="15.75" customHeight="1">
      <c r="B549" s="47"/>
    </row>
    <row r="550" ht="15.75" customHeight="1">
      <c r="B550" s="47"/>
    </row>
    <row r="551" ht="15.75" customHeight="1">
      <c r="B551" s="47"/>
    </row>
    <row r="552" ht="15.75" customHeight="1">
      <c r="B552" s="47"/>
    </row>
    <row r="553" ht="15.75" customHeight="1">
      <c r="B553" s="47"/>
    </row>
    <row r="554" ht="15.75" customHeight="1">
      <c r="B554" s="47"/>
    </row>
    <row r="555" ht="15.75" customHeight="1">
      <c r="B555" s="47"/>
    </row>
    <row r="556" ht="15.75" customHeight="1">
      <c r="B556" s="47"/>
    </row>
    <row r="557" ht="15.75" customHeight="1">
      <c r="B557" s="47"/>
    </row>
    <row r="558" ht="15.75" customHeight="1">
      <c r="B558" s="47"/>
    </row>
    <row r="559" ht="15.75" customHeight="1">
      <c r="B559" s="47"/>
    </row>
    <row r="560" ht="15.75" customHeight="1">
      <c r="B560" s="47"/>
    </row>
    <row r="561" ht="15.75" customHeight="1">
      <c r="B561" s="47"/>
    </row>
    <row r="562" ht="15.75" customHeight="1">
      <c r="B562" s="47"/>
    </row>
    <row r="563" ht="15.75" customHeight="1">
      <c r="B563" s="47"/>
    </row>
    <row r="564" ht="15.75" customHeight="1">
      <c r="B564" s="47"/>
    </row>
    <row r="565" ht="15.75" customHeight="1">
      <c r="B565" s="47"/>
    </row>
    <row r="566" ht="15.75" customHeight="1">
      <c r="B566" s="47"/>
    </row>
    <row r="567" ht="15.75" customHeight="1">
      <c r="B567" s="47"/>
    </row>
    <row r="568" ht="15.75" customHeight="1">
      <c r="B568" s="47"/>
    </row>
    <row r="569" ht="15.75" customHeight="1">
      <c r="B569" s="47"/>
    </row>
    <row r="570" ht="15.75" customHeight="1">
      <c r="B570" s="47"/>
    </row>
    <row r="571" ht="15.75" customHeight="1">
      <c r="B571" s="47"/>
    </row>
    <row r="572" ht="15.75" customHeight="1">
      <c r="B572" s="47"/>
    </row>
    <row r="573" ht="15.75" customHeight="1">
      <c r="B573" s="47"/>
    </row>
    <row r="574" ht="15.75" customHeight="1">
      <c r="B574" s="47"/>
    </row>
    <row r="575" ht="15.75" customHeight="1">
      <c r="B575" s="47"/>
    </row>
    <row r="576" ht="15.75" customHeight="1">
      <c r="B576" s="47"/>
    </row>
    <row r="577" ht="15.75" customHeight="1">
      <c r="B577" s="47"/>
    </row>
    <row r="578" ht="15.75" customHeight="1">
      <c r="B578" s="47"/>
    </row>
    <row r="579" ht="15.75" customHeight="1">
      <c r="B579" s="47"/>
    </row>
    <row r="580" ht="15.75" customHeight="1">
      <c r="B580" s="47"/>
    </row>
    <row r="581" ht="15.75" customHeight="1">
      <c r="B581" s="47"/>
    </row>
    <row r="582" ht="15.75" customHeight="1">
      <c r="B582" s="47"/>
    </row>
    <row r="583" ht="15.75" customHeight="1">
      <c r="B583" s="47"/>
    </row>
    <row r="584" ht="15.75" customHeight="1">
      <c r="B584" s="47"/>
    </row>
    <row r="585" ht="15.75" customHeight="1">
      <c r="B585" s="47"/>
    </row>
    <row r="586" ht="15.75" customHeight="1">
      <c r="B586" s="47"/>
    </row>
    <row r="587" ht="15.75" customHeight="1">
      <c r="B587" s="47"/>
    </row>
    <row r="588" ht="15.75" customHeight="1">
      <c r="B588" s="47"/>
    </row>
    <row r="589" ht="15.75" customHeight="1">
      <c r="B589" s="47"/>
    </row>
    <row r="590" ht="15.75" customHeight="1">
      <c r="B590" s="47"/>
    </row>
    <row r="591" ht="15.75" customHeight="1">
      <c r="B591" s="47"/>
    </row>
    <row r="592" ht="15.75" customHeight="1">
      <c r="B592" s="47"/>
    </row>
    <row r="593" ht="15.75" customHeight="1">
      <c r="B593" s="47"/>
    </row>
    <row r="594" ht="15.75" customHeight="1">
      <c r="B594" s="47"/>
    </row>
    <row r="595" ht="15.75" customHeight="1">
      <c r="B595" s="47"/>
    </row>
    <row r="596" ht="15.75" customHeight="1">
      <c r="B596" s="47"/>
    </row>
    <row r="597" ht="15.75" customHeight="1">
      <c r="B597" s="47"/>
    </row>
    <row r="598" ht="15.75" customHeight="1">
      <c r="B598" s="47"/>
    </row>
    <row r="599" ht="15.75" customHeight="1">
      <c r="B599" s="47"/>
    </row>
    <row r="600" ht="15.75" customHeight="1">
      <c r="B600" s="47"/>
    </row>
    <row r="601" ht="15.75" customHeight="1">
      <c r="B601" s="47"/>
    </row>
    <row r="602" ht="15.75" customHeight="1">
      <c r="B602" s="47"/>
    </row>
    <row r="603" ht="15.75" customHeight="1">
      <c r="B603" s="47"/>
    </row>
    <row r="604" ht="15.75" customHeight="1">
      <c r="B604" s="47"/>
    </row>
    <row r="605" ht="15.75" customHeight="1">
      <c r="B605" s="47"/>
    </row>
    <row r="606" ht="15.75" customHeight="1">
      <c r="B606" s="47"/>
    </row>
    <row r="607" ht="15.75" customHeight="1">
      <c r="B607" s="47"/>
    </row>
    <row r="608" ht="15.75" customHeight="1">
      <c r="B608" s="47"/>
    </row>
    <row r="609" ht="15.75" customHeight="1">
      <c r="B609" s="47"/>
    </row>
    <row r="610" ht="15.75" customHeight="1">
      <c r="B610" s="47"/>
    </row>
    <row r="611" ht="15.75" customHeight="1">
      <c r="B611" s="47"/>
    </row>
    <row r="612" ht="15.75" customHeight="1">
      <c r="B612" s="47"/>
    </row>
    <row r="613" ht="15.75" customHeight="1">
      <c r="B613" s="47"/>
    </row>
    <row r="614" ht="15.75" customHeight="1">
      <c r="B614" s="47"/>
    </row>
    <row r="615" ht="15.75" customHeight="1">
      <c r="B615" s="47"/>
    </row>
    <row r="616" ht="15.75" customHeight="1">
      <c r="B616" s="47"/>
    </row>
    <row r="617" ht="15.75" customHeight="1">
      <c r="B617" s="47"/>
    </row>
    <row r="618" ht="15.75" customHeight="1">
      <c r="B618" s="47"/>
    </row>
    <row r="619" ht="15.75" customHeight="1">
      <c r="B619" s="47"/>
    </row>
    <row r="620" ht="15.75" customHeight="1">
      <c r="B620" s="47"/>
    </row>
    <row r="621" ht="15.75" customHeight="1">
      <c r="B621" s="47"/>
    </row>
    <row r="622" ht="15.75" customHeight="1">
      <c r="B622" s="47"/>
    </row>
    <row r="623" ht="15.75" customHeight="1">
      <c r="B623" s="47"/>
    </row>
    <row r="624" ht="15.75" customHeight="1">
      <c r="B624" s="47"/>
    </row>
    <row r="625" ht="15.75" customHeight="1">
      <c r="B625" s="47"/>
    </row>
    <row r="626" ht="15.75" customHeight="1">
      <c r="B626" s="47"/>
    </row>
    <row r="627" ht="15.75" customHeight="1">
      <c r="B627" s="47"/>
    </row>
    <row r="628" ht="15.75" customHeight="1">
      <c r="B628" s="47"/>
    </row>
    <row r="629" ht="15.75" customHeight="1">
      <c r="B629" s="47"/>
    </row>
    <row r="630" ht="15.75" customHeight="1">
      <c r="B630" s="47"/>
    </row>
    <row r="631" ht="15.75" customHeight="1">
      <c r="B631" s="47"/>
    </row>
    <row r="632" ht="15.75" customHeight="1">
      <c r="B632" s="47"/>
    </row>
    <row r="633" ht="15.75" customHeight="1">
      <c r="B633" s="47"/>
    </row>
    <row r="634" ht="15.75" customHeight="1">
      <c r="B634" s="47"/>
    </row>
    <row r="635" ht="15.75" customHeight="1">
      <c r="B635" s="47"/>
    </row>
    <row r="636" ht="15.75" customHeight="1">
      <c r="B636" s="47"/>
    </row>
    <row r="637" ht="15.75" customHeight="1">
      <c r="B637" s="47"/>
    </row>
    <row r="638" ht="15.75" customHeight="1">
      <c r="B638" s="47"/>
    </row>
    <row r="639" ht="15.75" customHeight="1">
      <c r="B639" s="47"/>
    </row>
    <row r="640" ht="15.75" customHeight="1">
      <c r="B640" s="47"/>
    </row>
    <row r="641" ht="15.75" customHeight="1">
      <c r="B641" s="47"/>
    </row>
    <row r="642" ht="15.75" customHeight="1">
      <c r="B642" s="47"/>
    </row>
    <row r="643" ht="15.75" customHeight="1">
      <c r="B643" s="47"/>
    </row>
    <row r="644" ht="15.75" customHeight="1">
      <c r="B644" s="47"/>
    </row>
    <row r="645" ht="15.75" customHeight="1">
      <c r="B645" s="47"/>
    </row>
    <row r="646" ht="15.75" customHeight="1">
      <c r="B646" s="47"/>
    </row>
    <row r="647" ht="15.75" customHeight="1">
      <c r="B647" s="47"/>
    </row>
    <row r="648" ht="15.75" customHeight="1">
      <c r="B648" s="47"/>
    </row>
    <row r="649" ht="15.75" customHeight="1">
      <c r="B649" s="47"/>
    </row>
    <row r="650" ht="15.75" customHeight="1">
      <c r="B650" s="47"/>
    </row>
    <row r="651" ht="15.75" customHeight="1">
      <c r="B651" s="47"/>
    </row>
    <row r="652" ht="15.75" customHeight="1">
      <c r="B652" s="47"/>
    </row>
    <row r="653" ht="15.75" customHeight="1">
      <c r="B653" s="47"/>
    </row>
    <row r="654" ht="15.75" customHeight="1">
      <c r="B654" s="47"/>
    </row>
    <row r="655" ht="15.75" customHeight="1">
      <c r="B655" s="47"/>
    </row>
    <row r="656" ht="15.75" customHeight="1">
      <c r="B656" s="47"/>
    </row>
    <row r="657" ht="15.75" customHeight="1">
      <c r="B657" s="47"/>
    </row>
    <row r="658" ht="15.75" customHeight="1">
      <c r="B658" s="47"/>
    </row>
    <row r="659" ht="15.75" customHeight="1">
      <c r="B659" s="47"/>
    </row>
    <row r="660" ht="15.75" customHeight="1">
      <c r="B660" s="47"/>
    </row>
    <row r="661" ht="15.75" customHeight="1">
      <c r="B661" s="47"/>
    </row>
    <row r="662" ht="15.75" customHeight="1">
      <c r="B662" s="47"/>
    </row>
    <row r="663" ht="15.75" customHeight="1">
      <c r="B663" s="47"/>
    </row>
    <row r="664" ht="15.75" customHeight="1">
      <c r="B664" s="47"/>
    </row>
    <row r="665" ht="15.75" customHeight="1">
      <c r="B665" s="47"/>
    </row>
    <row r="666" ht="15.75" customHeight="1">
      <c r="B666" s="47"/>
    </row>
    <row r="667" ht="15.75" customHeight="1">
      <c r="B667" s="47"/>
    </row>
    <row r="668" ht="15.75" customHeight="1">
      <c r="B668" s="47"/>
    </row>
    <row r="669" ht="15.75" customHeight="1">
      <c r="B669" s="47"/>
    </row>
    <row r="670" ht="15.75" customHeight="1">
      <c r="B670" s="47"/>
    </row>
    <row r="671" ht="15.75" customHeight="1">
      <c r="B671" s="47"/>
    </row>
    <row r="672" ht="15.75" customHeight="1">
      <c r="B672" s="47"/>
    </row>
    <row r="673" ht="15.75" customHeight="1">
      <c r="B673" s="47"/>
    </row>
    <row r="674" ht="15.75" customHeight="1">
      <c r="B674" s="47"/>
    </row>
    <row r="675" ht="15.75" customHeight="1">
      <c r="B675" s="47"/>
    </row>
    <row r="676" ht="15.75" customHeight="1">
      <c r="B676" s="47"/>
    </row>
    <row r="677" ht="15.75" customHeight="1">
      <c r="B677" s="47"/>
    </row>
    <row r="678" ht="15.75" customHeight="1">
      <c r="B678" s="47"/>
    </row>
    <row r="679" ht="15.75" customHeight="1">
      <c r="B679" s="47"/>
    </row>
    <row r="680" ht="15.75" customHeight="1">
      <c r="B680" s="47"/>
    </row>
    <row r="681" ht="15.75" customHeight="1">
      <c r="B681" s="47"/>
    </row>
    <row r="682" ht="15.75" customHeight="1">
      <c r="B682" s="47"/>
    </row>
    <row r="683" ht="15.75" customHeight="1">
      <c r="B683" s="47"/>
    </row>
    <row r="684" ht="15.75" customHeight="1">
      <c r="B684" s="47"/>
    </row>
    <row r="685" ht="15.75" customHeight="1">
      <c r="B685" s="47"/>
    </row>
    <row r="686" ht="15.75" customHeight="1">
      <c r="B686" s="47"/>
    </row>
    <row r="687" ht="15.75" customHeight="1">
      <c r="B687" s="47"/>
    </row>
    <row r="688" ht="15.75" customHeight="1">
      <c r="B688" s="47"/>
    </row>
    <row r="689" ht="15.75" customHeight="1">
      <c r="B689" s="47"/>
    </row>
    <row r="690" ht="15.75" customHeight="1">
      <c r="B690" s="47"/>
    </row>
    <row r="691" ht="15.75" customHeight="1">
      <c r="B691" s="47"/>
    </row>
    <row r="692" ht="15.75" customHeight="1">
      <c r="B692" s="47"/>
    </row>
    <row r="693" ht="15.75" customHeight="1">
      <c r="B693" s="47"/>
    </row>
    <row r="694" ht="15.75" customHeight="1">
      <c r="B694" s="47"/>
    </row>
    <row r="695" ht="15.75" customHeight="1">
      <c r="B695" s="47"/>
    </row>
    <row r="696" ht="15.75" customHeight="1">
      <c r="B696" s="47"/>
    </row>
    <row r="697" ht="15.75" customHeight="1">
      <c r="B697" s="47"/>
    </row>
    <row r="698" ht="15.75" customHeight="1">
      <c r="B698" s="47"/>
    </row>
    <row r="699" ht="15.75" customHeight="1">
      <c r="B699" s="47"/>
    </row>
    <row r="700" ht="15.75" customHeight="1">
      <c r="B700" s="47"/>
    </row>
    <row r="701" ht="15.75" customHeight="1">
      <c r="B701" s="47"/>
    </row>
    <row r="702" ht="15.75" customHeight="1">
      <c r="B702" s="47"/>
    </row>
    <row r="703" ht="15.75" customHeight="1">
      <c r="B703" s="47"/>
    </row>
    <row r="704" ht="15.75" customHeight="1">
      <c r="B704" s="47"/>
    </row>
    <row r="705" ht="15.75" customHeight="1">
      <c r="B705" s="47"/>
    </row>
    <row r="706" ht="15.75" customHeight="1">
      <c r="B706" s="47"/>
    </row>
    <row r="707" ht="15.75" customHeight="1">
      <c r="B707" s="47"/>
    </row>
    <row r="708" ht="15.75" customHeight="1">
      <c r="B708" s="47"/>
    </row>
    <row r="709" ht="15.75" customHeight="1">
      <c r="B709" s="47"/>
    </row>
    <row r="710" ht="15.75" customHeight="1">
      <c r="B710" s="47"/>
    </row>
    <row r="711" ht="15.75" customHeight="1">
      <c r="B711" s="47"/>
    </row>
    <row r="712" ht="15.75" customHeight="1">
      <c r="B712" s="47"/>
    </row>
    <row r="713" ht="15.75" customHeight="1">
      <c r="B713" s="47"/>
    </row>
    <row r="714" ht="15.75" customHeight="1">
      <c r="B714" s="47"/>
    </row>
    <row r="715" ht="15.75" customHeight="1">
      <c r="B715" s="47"/>
    </row>
    <row r="716" ht="15.75" customHeight="1">
      <c r="B716" s="47"/>
    </row>
    <row r="717" ht="15.75" customHeight="1">
      <c r="B717" s="47"/>
    </row>
    <row r="718" ht="15.75" customHeight="1">
      <c r="B718" s="47"/>
    </row>
    <row r="719" ht="15.75" customHeight="1">
      <c r="B719" s="47"/>
    </row>
    <row r="720" ht="15.75" customHeight="1">
      <c r="B720" s="47"/>
    </row>
    <row r="721" ht="15.75" customHeight="1">
      <c r="B721" s="47"/>
    </row>
    <row r="722" ht="15.75" customHeight="1">
      <c r="B722" s="47"/>
    </row>
    <row r="723" ht="15.75" customHeight="1">
      <c r="B723" s="47"/>
    </row>
    <row r="724" ht="15.75" customHeight="1">
      <c r="B724" s="47"/>
    </row>
    <row r="725" ht="15.75" customHeight="1">
      <c r="B725" s="47"/>
    </row>
    <row r="726" ht="15.75" customHeight="1">
      <c r="B726" s="47"/>
    </row>
    <row r="727" ht="15.75" customHeight="1">
      <c r="B727" s="47"/>
    </row>
    <row r="728" ht="15.75" customHeight="1">
      <c r="B728" s="47"/>
    </row>
    <row r="729" ht="15.75" customHeight="1">
      <c r="B729" s="47"/>
    </row>
    <row r="730" ht="15.75" customHeight="1">
      <c r="B730" s="47"/>
    </row>
    <row r="731" ht="15.75" customHeight="1">
      <c r="B731" s="47"/>
    </row>
    <row r="732" ht="15.75" customHeight="1">
      <c r="B732" s="47"/>
    </row>
    <row r="733" ht="15.75" customHeight="1">
      <c r="B733" s="47"/>
    </row>
    <row r="734" ht="15.75" customHeight="1">
      <c r="B734" s="47"/>
    </row>
    <row r="735" ht="15.75" customHeight="1">
      <c r="B735" s="47"/>
    </row>
    <row r="736" ht="15.75" customHeight="1">
      <c r="B736" s="47"/>
    </row>
    <row r="737" ht="15.75" customHeight="1">
      <c r="B737" s="47"/>
    </row>
    <row r="738" ht="15.75" customHeight="1">
      <c r="B738" s="47"/>
    </row>
    <row r="739" ht="15.75" customHeight="1">
      <c r="B739" s="47"/>
    </row>
    <row r="740" ht="15.75" customHeight="1">
      <c r="B740" s="47"/>
    </row>
    <row r="741" ht="15.75" customHeight="1">
      <c r="B741" s="47"/>
    </row>
    <row r="742" ht="15.75" customHeight="1">
      <c r="B742" s="47"/>
    </row>
    <row r="743" ht="15.75" customHeight="1">
      <c r="B743" s="47"/>
    </row>
    <row r="744" ht="15.75" customHeight="1">
      <c r="B744" s="47"/>
    </row>
    <row r="745" ht="15.75" customHeight="1">
      <c r="B745" s="47"/>
    </row>
    <row r="746" ht="15.75" customHeight="1">
      <c r="B746" s="47"/>
    </row>
    <row r="747" ht="15.75" customHeight="1">
      <c r="B747" s="47"/>
    </row>
    <row r="748" ht="15.75" customHeight="1">
      <c r="B748" s="47"/>
    </row>
    <row r="749" ht="15.75" customHeight="1">
      <c r="B749" s="47"/>
    </row>
    <row r="750" ht="15.75" customHeight="1">
      <c r="B750" s="47"/>
    </row>
    <row r="751" ht="15.75" customHeight="1">
      <c r="B751" s="47"/>
    </row>
    <row r="752" ht="15.75" customHeight="1">
      <c r="B752" s="47"/>
    </row>
    <row r="753" ht="15.75" customHeight="1">
      <c r="B753" s="47"/>
    </row>
    <row r="754" ht="15.75" customHeight="1">
      <c r="B754" s="47"/>
    </row>
    <row r="755" ht="15.75" customHeight="1">
      <c r="B755" s="47"/>
    </row>
    <row r="756" ht="15.75" customHeight="1">
      <c r="B756" s="47"/>
    </row>
    <row r="757" ht="15.75" customHeight="1">
      <c r="B757" s="47"/>
    </row>
    <row r="758" ht="15.75" customHeight="1">
      <c r="B758" s="47"/>
    </row>
    <row r="759" ht="15.75" customHeight="1">
      <c r="B759" s="47"/>
    </row>
    <row r="760" ht="15.75" customHeight="1">
      <c r="B760" s="47"/>
    </row>
    <row r="761" ht="15.75" customHeight="1">
      <c r="B761" s="47"/>
    </row>
    <row r="762" ht="15.75" customHeight="1">
      <c r="B762" s="47"/>
    </row>
    <row r="763" ht="15.75" customHeight="1">
      <c r="B763" s="47"/>
    </row>
    <row r="764" ht="15.75" customHeight="1">
      <c r="B764" s="47"/>
    </row>
    <row r="765" ht="15.75" customHeight="1">
      <c r="B765" s="47"/>
    </row>
    <row r="766" ht="15.75" customHeight="1">
      <c r="B766" s="47"/>
    </row>
    <row r="767" ht="15.75" customHeight="1">
      <c r="B767" s="47"/>
    </row>
    <row r="768" ht="15.75" customHeight="1">
      <c r="B768" s="47"/>
    </row>
    <row r="769" ht="15.75" customHeight="1">
      <c r="B769" s="47"/>
    </row>
    <row r="770" ht="15.75" customHeight="1">
      <c r="B770" s="47"/>
    </row>
    <row r="771" ht="15.75" customHeight="1">
      <c r="B771" s="47"/>
    </row>
    <row r="772" ht="15.75" customHeight="1">
      <c r="B772" s="47"/>
    </row>
    <row r="773" ht="15.75" customHeight="1">
      <c r="B773" s="47"/>
    </row>
    <row r="774" ht="15.75" customHeight="1">
      <c r="B774" s="47"/>
    </row>
    <row r="775" ht="15.75" customHeight="1">
      <c r="B775" s="47"/>
    </row>
    <row r="776" ht="15.75" customHeight="1">
      <c r="B776" s="47"/>
    </row>
    <row r="777" ht="15.75" customHeight="1">
      <c r="B777" s="47"/>
    </row>
    <row r="778" ht="15.75" customHeight="1">
      <c r="B778" s="47"/>
    </row>
    <row r="779" ht="15.75" customHeight="1">
      <c r="B779" s="47"/>
    </row>
    <row r="780" ht="15.75" customHeight="1">
      <c r="B780" s="47"/>
    </row>
    <row r="781" ht="15.75" customHeight="1">
      <c r="B781" s="47"/>
    </row>
    <row r="782" ht="15.75" customHeight="1">
      <c r="B782" s="47"/>
    </row>
    <row r="783" ht="15.75" customHeight="1">
      <c r="B783" s="47"/>
    </row>
    <row r="784" ht="15.75" customHeight="1">
      <c r="B784" s="47"/>
    </row>
    <row r="785" ht="15.75" customHeight="1">
      <c r="B785" s="47"/>
    </row>
    <row r="786" ht="15.75" customHeight="1">
      <c r="B786" s="47"/>
    </row>
    <row r="787" ht="15.75" customHeight="1">
      <c r="B787" s="47"/>
    </row>
    <row r="788" ht="15.75" customHeight="1">
      <c r="B788" s="47"/>
    </row>
    <row r="789" ht="15.75" customHeight="1">
      <c r="B789" s="47"/>
    </row>
    <row r="790" ht="15.75" customHeight="1">
      <c r="B790" s="47"/>
    </row>
    <row r="791" ht="15.75" customHeight="1">
      <c r="B791" s="47"/>
    </row>
    <row r="792" ht="15.75" customHeight="1">
      <c r="B792" s="47"/>
    </row>
    <row r="793" ht="15.75" customHeight="1">
      <c r="B793" s="47"/>
    </row>
    <row r="794" ht="15.75" customHeight="1">
      <c r="B794" s="47"/>
    </row>
    <row r="795" ht="15.75" customHeight="1">
      <c r="B795" s="47"/>
    </row>
    <row r="796" ht="15.75" customHeight="1">
      <c r="B796" s="47"/>
    </row>
    <row r="797" ht="15.75" customHeight="1">
      <c r="B797" s="47"/>
    </row>
    <row r="798" ht="15.75" customHeight="1">
      <c r="B798" s="47"/>
    </row>
    <row r="799" ht="15.75" customHeight="1">
      <c r="B799" s="47"/>
    </row>
    <row r="800" ht="15.75" customHeight="1">
      <c r="B800" s="47"/>
    </row>
    <row r="801" ht="15.75" customHeight="1">
      <c r="B801" s="47"/>
    </row>
    <row r="802" ht="15.75" customHeight="1">
      <c r="B802" s="47"/>
    </row>
    <row r="803" ht="15.75" customHeight="1">
      <c r="B803" s="47"/>
    </row>
    <row r="804" ht="15.75" customHeight="1">
      <c r="B804" s="47"/>
    </row>
    <row r="805" ht="15.75" customHeight="1">
      <c r="B805" s="47"/>
    </row>
    <row r="806" ht="15.75" customHeight="1">
      <c r="B806" s="47"/>
    </row>
    <row r="807" ht="15.75" customHeight="1">
      <c r="B807" s="47"/>
    </row>
    <row r="808" ht="15.75" customHeight="1">
      <c r="B808" s="47"/>
    </row>
    <row r="809" ht="15.75" customHeight="1">
      <c r="B809" s="47"/>
    </row>
    <row r="810" ht="15.75" customHeight="1">
      <c r="B810" s="47"/>
    </row>
    <row r="811" ht="15.75" customHeight="1">
      <c r="B811" s="47"/>
    </row>
    <row r="812" ht="15.75" customHeight="1">
      <c r="B812" s="47"/>
    </row>
    <row r="813" ht="15.75" customHeight="1">
      <c r="B813" s="47"/>
    </row>
    <row r="814" ht="15.75" customHeight="1">
      <c r="B814" s="47"/>
    </row>
    <row r="815" ht="15.75" customHeight="1">
      <c r="B815" s="47"/>
    </row>
    <row r="816" ht="15.75" customHeight="1">
      <c r="B816" s="47"/>
    </row>
    <row r="817" ht="15.75" customHeight="1">
      <c r="B817" s="47"/>
    </row>
    <row r="818" ht="15.75" customHeight="1">
      <c r="B818" s="47"/>
    </row>
    <row r="819" ht="15.75" customHeight="1">
      <c r="B819" s="47"/>
    </row>
    <row r="820" ht="15.75" customHeight="1">
      <c r="B820" s="47"/>
    </row>
    <row r="821" ht="15.75" customHeight="1">
      <c r="B821" s="47"/>
    </row>
    <row r="822" ht="15.75" customHeight="1">
      <c r="B822" s="47"/>
    </row>
    <row r="823" ht="15.75" customHeight="1">
      <c r="B823" s="47"/>
    </row>
    <row r="824" ht="15.75" customHeight="1">
      <c r="B824" s="47"/>
    </row>
    <row r="825" ht="15.75" customHeight="1">
      <c r="B825" s="47"/>
    </row>
    <row r="826" ht="15.75" customHeight="1">
      <c r="B826" s="47"/>
    </row>
    <row r="827" ht="15.75" customHeight="1">
      <c r="B827" s="47"/>
    </row>
    <row r="828" ht="15.75" customHeight="1">
      <c r="B828" s="47"/>
    </row>
    <row r="829" ht="15.75" customHeight="1">
      <c r="B829" s="47"/>
    </row>
    <row r="830" ht="15.75" customHeight="1">
      <c r="B830" s="47"/>
    </row>
    <row r="831" ht="15.75" customHeight="1">
      <c r="B831" s="47"/>
    </row>
    <row r="832" ht="15.75" customHeight="1">
      <c r="B832" s="47"/>
    </row>
    <row r="833" ht="15.75" customHeight="1">
      <c r="B833" s="47"/>
    </row>
    <row r="834" ht="15.75" customHeight="1">
      <c r="B834" s="47"/>
    </row>
    <row r="835" ht="15.75" customHeight="1">
      <c r="B835" s="47"/>
    </row>
    <row r="836" ht="15.75" customHeight="1">
      <c r="B836" s="47"/>
    </row>
    <row r="837" ht="15.75" customHeight="1">
      <c r="B837" s="47"/>
    </row>
    <row r="838" ht="15.75" customHeight="1">
      <c r="B838" s="47"/>
    </row>
    <row r="839" ht="15.75" customHeight="1">
      <c r="B839" s="47"/>
    </row>
    <row r="840" ht="15.75" customHeight="1">
      <c r="B840" s="47"/>
    </row>
    <row r="841" ht="15.75" customHeight="1">
      <c r="B841" s="47"/>
    </row>
    <row r="842" ht="15.75" customHeight="1">
      <c r="B842" s="47"/>
    </row>
    <row r="843" ht="15.75" customHeight="1">
      <c r="B843" s="47"/>
    </row>
    <row r="844" ht="15.75" customHeight="1">
      <c r="B844" s="47"/>
    </row>
    <row r="845" ht="15.75" customHeight="1">
      <c r="B845" s="47"/>
    </row>
    <row r="846" ht="15.75" customHeight="1">
      <c r="B846" s="47"/>
    </row>
    <row r="847" ht="15.75" customHeight="1">
      <c r="B847" s="47"/>
    </row>
    <row r="848" ht="15.75" customHeight="1">
      <c r="B848" s="47"/>
    </row>
    <row r="849" ht="15.75" customHeight="1">
      <c r="B849" s="47"/>
    </row>
    <row r="850" ht="15.75" customHeight="1">
      <c r="B850" s="47"/>
    </row>
    <row r="851" ht="15.75" customHeight="1">
      <c r="B851" s="47"/>
    </row>
    <row r="852" ht="15.75" customHeight="1">
      <c r="B852" s="47"/>
    </row>
    <row r="853" ht="15.75" customHeight="1">
      <c r="B853" s="47"/>
    </row>
    <row r="854" ht="15.75" customHeight="1">
      <c r="B854" s="47"/>
    </row>
    <row r="855" ht="15.75" customHeight="1">
      <c r="B855" s="47"/>
    </row>
    <row r="856" ht="15.75" customHeight="1">
      <c r="B856" s="47"/>
    </row>
    <row r="857" ht="15.75" customHeight="1">
      <c r="B857" s="47"/>
    </row>
    <row r="858" ht="15.75" customHeight="1">
      <c r="B858" s="47"/>
    </row>
    <row r="859" ht="15.75" customHeight="1">
      <c r="B859" s="47"/>
    </row>
    <row r="860" ht="15.75" customHeight="1">
      <c r="B860" s="47"/>
    </row>
    <row r="861" ht="15.75" customHeight="1">
      <c r="B861" s="47"/>
    </row>
    <row r="862" ht="15.75" customHeight="1">
      <c r="B862" s="47"/>
    </row>
    <row r="863" ht="15.75" customHeight="1">
      <c r="B863" s="47"/>
    </row>
    <row r="864" ht="15.75" customHeight="1">
      <c r="B864" s="47"/>
    </row>
    <row r="865" ht="15.75" customHeight="1">
      <c r="B865" s="47"/>
    </row>
    <row r="866" ht="15.75" customHeight="1">
      <c r="B866" s="47"/>
    </row>
    <row r="867" ht="15.75" customHeight="1">
      <c r="B867" s="47"/>
    </row>
    <row r="868" ht="15.75" customHeight="1">
      <c r="B868" s="47"/>
    </row>
    <row r="869" ht="15.75" customHeight="1">
      <c r="B869" s="47"/>
    </row>
    <row r="870" ht="15.75" customHeight="1">
      <c r="B870" s="47"/>
    </row>
    <row r="871" ht="15.75" customHeight="1">
      <c r="B871" s="47"/>
    </row>
    <row r="872" ht="15.75" customHeight="1">
      <c r="B872" s="47"/>
    </row>
    <row r="873" ht="15.75" customHeight="1">
      <c r="B873" s="47"/>
    </row>
    <row r="874" ht="15.75" customHeight="1">
      <c r="B874" s="47"/>
    </row>
    <row r="875" ht="15.75" customHeight="1">
      <c r="B875" s="47"/>
    </row>
    <row r="876" ht="15.75" customHeight="1">
      <c r="B876" s="47"/>
    </row>
    <row r="877" ht="15.75" customHeight="1">
      <c r="B877" s="47"/>
    </row>
    <row r="878" ht="15.75" customHeight="1">
      <c r="B878" s="47"/>
    </row>
    <row r="879" ht="15.75" customHeight="1">
      <c r="B879" s="47"/>
    </row>
    <row r="880" ht="15.75" customHeight="1">
      <c r="B880" s="47"/>
    </row>
    <row r="881" ht="15.75" customHeight="1">
      <c r="B881" s="47"/>
    </row>
    <row r="882" ht="15.75" customHeight="1">
      <c r="B882" s="47"/>
    </row>
    <row r="883" ht="15.75" customHeight="1">
      <c r="B883" s="47"/>
    </row>
    <row r="884" ht="15.75" customHeight="1">
      <c r="B884" s="47"/>
    </row>
    <row r="885" ht="15.75" customHeight="1">
      <c r="B885" s="47"/>
    </row>
    <row r="886" ht="15.75" customHeight="1">
      <c r="B886" s="47"/>
    </row>
    <row r="887" ht="15.75" customHeight="1">
      <c r="B887" s="47"/>
    </row>
    <row r="888" ht="15.75" customHeight="1">
      <c r="B888" s="47"/>
    </row>
    <row r="889" ht="15.75" customHeight="1">
      <c r="B889" s="47"/>
    </row>
    <row r="890" ht="15.75" customHeight="1">
      <c r="B890" s="47"/>
    </row>
    <row r="891" ht="15.75" customHeight="1">
      <c r="B891" s="47"/>
    </row>
    <row r="892" ht="15.75" customHeight="1">
      <c r="B892" s="47"/>
    </row>
    <row r="893" ht="15.75" customHeight="1">
      <c r="B893" s="47"/>
    </row>
    <row r="894" ht="15.75" customHeight="1">
      <c r="B894" s="47"/>
    </row>
    <row r="895" ht="15.75" customHeight="1">
      <c r="B895" s="47"/>
    </row>
    <row r="896" ht="15.75" customHeight="1">
      <c r="B896" s="47"/>
    </row>
    <row r="897" ht="15.75" customHeight="1">
      <c r="B897" s="47"/>
    </row>
    <row r="898" ht="15.75" customHeight="1">
      <c r="B898" s="47"/>
    </row>
    <row r="899" ht="15.75" customHeight="1">
      <c r="B899" s="47"/>
    </row>
    <row r="900" ht="15.75" customHeight="1">
      <c r="B900" s="47"/>
    </row>
    <row r="901" ht="15.75" customHeight="1">
      <c r="B901" s="47"/>
    </row>
    <row r="902" ht="15.75" customHeight="1">
      <c r="B902" s="47"/>
    </row>
    <row r="903" ht="15.75" customHeight="1">
      <c r="B903" s="47"/>
    </row>
    <row r="904" ht="15.75" customHeight="1">
      <c r="B904" s="47"/>
    </row>
    <row r="905" ht="15.75" customHeight="1">
      <c r="B905" s="47"/>
    </row>
    <row r="906" ht="15.75" customHeight="1">
      <c r="B906" s="47"/>
    </row>
    <row r="907" ht="15.75" customHeight="1">
      <c r="B907" s="47"/>
    </row>
    <row r="908" ht="15.75" customHeight="1">
      <c r="B908" s="47"/>
    </row>
    <row r="909" ht="15.75" customHeight="1">
      <c r="B909" s="47"/>
    </row>
    <row r="910" ht="15.75" customHeight="1">
      <c r="B910" s="47"/>
    </row>
    <row r="911" ht="15.75" customHeight="1">
      <c r="B911" s="47"/>
    </row>
    <row r="912" ht="15.75" customHeight="1">
      <c r="B912" s="47"/>
    </row>
    <row r="913" ht="15.75" customHeight="1">
      <c r="B913" s="47"/>
    </row>
    <row r="914" ht="15.75" customHeight="1">
      <c r="B914" s="47"/>
    </row>
    <row r="915" ht="15.75" customHeight="1">
      <c r="B915" s="47"/>
    </row>
    <row r="916" ht="15.75" customHeight="1">
      <c r="B916" s="47"/>
    </row>
    <row r="917" ht="15.75" customHeight="1">
      <c r="B917" s="47"/>
    </row>
    <row r="918" ht="15.75" customHeight="1">
      <c r="B918" s="47"/>
    </row>
    <row r="919" ht="15.75" customHeight="1">
      <c r="B919" s="47"/>
    </row>
    <row r="920" ht="15.75" customHeight="1">
      <c r="B920" s="47"/>
    </row>
    <row r="921" ht="15.75" customHeight="1">
      <c r="B921" s="47"/>
    </row>
    <row r="922" ht="15.75" customHeight="1">
      <c r="B922" s="47"/>
    </row>
    <row r="923" ht="15.75" customHeight="1">
      <c r="B923" s="47"/>
    </row>
    <row r="924" ht="15.75" customHeight="1">
      <c r="B924" s="47"/>
    </row>
    <row r="925" ht="15.75" customHeight="1">
      <c r="B925" s="47"/>
    </row>
    <row r="926" ht="15.75" customHeight="1">
      <c r="B926" s="47"/>
    </row>
    <row r="927" ht="15.75" customHeight="1">
      <c r="B927" s="47"/>
    </row>
    <row r="928" ht="15.75" customHeight="1">
      <c r="B928" s="47"/>
    </row>
    <row r="929" ht="15.75" customHeight="1">
      <c r="B929" s="47"/>
    </row>
    <row r="930" ht="15.75" customHeight="1">
      <c r="B930" s="47"/>
    </row>
    <row r="931" ht="15.75" customHeight="1">
      <c r="B931" s="47"/>
    </row>
    <row r="932" ht="15.75" customHeight="1">
      <c r="B932" s="47"/>
    </row>
    <row r="933" ht="15.75" customHeight="1">
      <c r="B933" s="47"/>
    </row>
    <row r="934" ht="15.75" customHeight="1">
      <c r="B934" s="47"/>
    </row>
    <row r="935" ht="15.75" customHeight="1">
      <c r="B935" s="47"/>
    </row>
    <row r="936" ht="15.75" customHeight="1">
      <c r="B936" s="47"/>
    </row>
    <row r="937" ht="15.75" customHeight="1">
      <c r="B937" s="47"/>
    </row>
    <row r="938" ht="15.75" customHeight="1">
      <c r="B938" s="47"/>
    </row>
    <row r="939" ht="15.75" customHeight="1">
      <c r="B939" s="47"/>
    </row>
    <row r="940" ht="15.75" customHeight="1">
      <c r="B940" s="47"/>
    </row>
    <row r="941" ht="15.75" customHeight="1">
      <c r="B941" s="47"/>
    </row>
    <row r="942" ht="15.75" customHeight="1">
      <c r="B942" s="47"/>
    </row>
    <row r="943" ht="15.75" customHeight="1">
      <c r="B943" s="47"/>
    </row>
    <row r="944" ht="15.75" customHeight="1">
      <c r="B944" s="47"/>
    </row>
    <row r="945" ht="15.75" customHeight="1">
      <c r="B945" s="47"/>
    </row>
    <row r="946" ht="15.75" customHeight="1">
      <c r="B946" s="47"/>
    </row>
    <row r="947" ht="15.75" customHeight="1">
      <c r="B947" s="47"/>
    </row>
    <row r="948" ht="15.75" customHeight="1">
      <c r="B948" s="47"/>
    </row>
    <row r="949" ht="15.75" customHeight="1">
      <c r="B949" s="47"/>
    </row>
    <row r="950" ht="15.75" customHeight="1">
      <c r="B950" s="47"/>
    </row>
    <row r="951" ht="15.75" customHeight="1">
      <c r="B951" s="47"/>
    </row>
    <row r="952" ht="15.75" customHeight="1">
      <c r="B952" s="47"/>
    </row>
    <row r="953" ht="15.75" customHeight="1">
      <c r="B953" s="47"/>
    </row>
    <row r="954" ht="15.75" customHeight="1">
      <c r="B954" s="47"/>
    </row>
    <row r="955" ht="15.75" customHeight="1">
      <c r="B955" s="47"/>
    </row>
    <row r="956" ht="15.75" customHeight="1">
      <c r="B956" s="47"/>
    </row>
    <row r="957" ht="15.75" customHeight="1">
      <c r="B957" s="47"/>
    </row>
    <row r="958" ht="15.75" customHeight="1">
      <c r="B958" s="47"/>
    </row>
    <row r="959" ht="15.75" customHeight="1">
      <c r="B959" s="47"/>
    </row>
    <row r="960" ht="15.75" customHeight="1">
      <c r="B960" s="47"/>
    </row>
    <row r="961" ht="15.75" customHeight="1">
      <c r="B961" s="47"/>
    </row>
    <row r="962" ht="15.75" customHeight="1">
      <c r="B962" s="47"/>
    </row>
    <row r="963" ht="15.75" customHeight="1">
      <c r="B963" s="47"/>
    </row>
    <row r="964" ht="15.75" customHeight="1">
      <c r="B964" s="47"/>
    </row>
    <row r="965" ht="15.75" customHeight="1">
      <c r="B965" s="47"/>
    </row>
    <row r="966" ht="15.75" customHeight="1">
      <c r="B966" s="47"/>
    </row>
    <row r="967" ht="15.75" customHeight="1">
      <c r="B967" s="47"/>
    </row>
    <row r="968" ht="15.75" customHeight="1">
      <c r="B968" s="47"/>
    </row>
    <row r="969" ht="15.75" customHeight="1">
      <c r="B969" s="47"/>
    </row>
    <row r="970" ht="15.75" customHeight="1">
      <c r="B970" s="47"/>
    </row>
    <row r="971" ht="15.75" customHeight="1">
      <c r="B971" s="47"/>
    </row>
    <row r="972" ht="15.75" customHeight="1">
      <c r="B972" s="47"/>
    </row>
    <row r="973" ht="15.75" customHeight="1">
      <c r="B973" s="47"/>
    </row>
    <row r="974" ht="15.75" customHeight="1">
      <c r="B974" s="47"/>
    </row>
    <row r="975" ht="15.75" customHeight="1">
      <c r="B975" s="47"/>
    </row>
    <row r="976" ht="15.75" customHeight="1">
      <c r="B976" s="47"/>
    </row>
    <row r="977" ht="15.75" customHeight="1">
      <c r="B977" s="47"/>
    </row>
    <row r="978" ht="15.75" customHeight="1">
      <c r="B978" s="47"/>
    </row>
    <row r="979" ht="15.75" customHeight="1">
      <c r="B979" s="47"/>
    </row>
    <row r="980" ht="15.75" customHeight="1">
      <c r="B980" s="47"/>
    </row>
    <row r="981" ht="15.75" customHeight="1">
      <c r="B981" s="47"/>
    </row>
    <row r="982" ht="15.75" customHeight="1">
      <c r="B982" s="47"/>
    </row>
    <row r="983" ht="15.75" customHeight="1">
      <c r="B983" s="47"/>
    </row>
    <row r="984" ht="15.75" customHeight="1">
      <c r="B984" s="47"/>
    </row>
    <row r="985" ht="15.75" customHeight="1">
      <c r="B985" s="47"/>
    </row>
    <row r="986" ht="15.75" customHeight="1">
      <c r="B986" s="47"/>
    </row>
    <row r="987" ht="15.75" customHeight="1">
      <c r="B987" s="47"/>
    </row>
    <row r="988" ht="15.75" customHeight="1">
      <c r="B988" s="47"/>
    </row>
    <row r="989" ht="15.75" customHeight="1">
      <c r="B989" s="47"/>
    </row>
    <row r="990" ht="15.75" customHeight="1">
      <c r="B990" s="47"/>
    </row>
    <row r="991" ht="15.75" customHeight="1">
      <c r="B991" s="47"/>
    </row>
    <row r="992" ht="15.75" customHeight="1">
      <c r="B992" s="47"/>
    </row>
    <row r="993" ht="15.75" customHeight="1">
      <c r="B993" s="47"/>
    </row>
    <row r="994" ht="15.75" customHeight="1">
      <c r="B994" s="47"/>
    </row>
    <row r="995" ht="15.75" customHeight="1">
      <c r="B995" s="47"/>
    </row>
    <row r="996" ht="15.75" customHeight="1">
      <c r="B996" s="47"/>
    </row>
    <row r="997" ht="15.75" customHeight="1">
      <c r="B997" s="47"/>
    </row>
    <row r="998" ht="15.75" customHeight="1">
      <c r="B998" s="47"/>
    </row>
    <row r="999" ht="15.75" customHeight="1">
      <c r="B999" s="47"/>
    </row>
    <row r="1000" ht="15.75" customHeight="1">
      <c r="B1000" s="47"/>
    </row>
    <row r="1001" ht="15.75" customHeight="1">
      <c r="B1001" s="47"/>
    </row>
  </sheetData>
  <mergeCells count="7">
    <mergeCell ref="A1:F1"/>
    <mergeCell ref="A2:F2"/>
    <mergeCell ref="A4:F4"/>
    <mergeCell ref="A13:F13"/>
    <mergeCell ref="A23:F23"/>
    <mergeCell ref="A33:F33"/>
    <mergeCell ref="A41:G4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4" t="s">
        <v>185</v>
      </c>
      <c r="B1" s="65"/>
      <c r="C1" s="65"/>
      <c r="D1" s="65"/>
      <c r="E1" s="65"/>
      <c r="F1" s="65"/>
      <c r="G1" s="65"/>
      <c r="H1" s="65"/>
      <c r="I1" s="65"/>
      <c r="J1" s="65"/>
      <c r="K1" s="66"/>
    </row>
    <row r="2">
      <c r="A2" s="67" t="s">
        <v>186</v>
      </c>
      <c r="B2" s="68"/>
      <c r="C2" s="68"/>
      <c r="D2" s="68"/>
      <c r="E2" s="68"/>
      <c r="F2" s="68"/>
      <c r="G2" s="68"/>
      <c r="H2" s="68"/>
      <c r="I2" s="68"/>
      <c r="J2" s="68"/>
      <c r="K2" s="69"/>
    </row>
    <row r="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</row>
    <row r="4">
      <c r="A4" s="71" t="s">
        <v>187</v>
      </c>
      <c r="B4" s="72"/>
      <c r="C4" s="72"/>
      <c r="D4" s="72"/>
      <c r="E4" s="72"/>
      <c r="F4" s="72"/>
      <c r="G4" s="72"/>
      <c r="H4" s="72"/>
      <c r="I4" s="72"/>
      <c r="J4" s="72"/>
      <c r="K4" s="73"/>
    </row>
    <row r="5">
      <c r="A5" s="74" t="s">
        <v>188</v>
      </c>
      <c r="B5" s="74" t="s">
        <v>189</v>
      </c>
      <c r="C5" s="74" t="s">
        <v>190</v>
      </c>
      <c r="D5" s="74" t="s">
        <v>191</v>
      </c>
      <c r="E5" s="74" t="s">
        <v>192</v>
      </c>
      <c r="F5" s="74" t="s">
        <v>85</v>
      </c>
      <c r="G5" s="74" t="s">
        <v>193</v>
      </c>
      <c r="H5" s="74" t="s">
        <v>194</v>
      </c>
      <c r="I5" s="74" t="s">
        <v>195</v>
      </c>
      <c r="J5" s="74" t="s">
        <v>196</v>
      </c>
      <c r="K5" s="74" t="s">
        <v>197</v>
      </c>
    </row>
    <row r="6">
      <c r="A6" s="75" t="s">
        <v>198</v>
      </c>
      <c r="B6" s="76" t="s">
        <v>199</v>
      </c>
      <c r="C6" s="75" t="s">
        <v>200</v>
      </c>
      <c r="D6" s="75" t="s">
        <v>201</v>
      </c>
      <c r="E6" s="76" t="s">
        <v>202</v>
      </c>
      <c r="F6" s="76" t="s">
        <v>203</v>
      </c>
      <c r="G6" s="77">
        <v>5000000.0</v>
      </c>
      <c r="H6" s="78">
        <v>31500.0</v>
      </c>
      <c r="I6" s="76" t="s">
        <v>204</v>
      </c>
      <c r="J6" s="75" t="s">
        <v>205</v>
      </c>
      <c r="K6" s="77">
        <f t="shared" ref="K6:K40" si="1">H6*12</f>
        <v>378000</v>
      </c>
    </row>
    <row r="7">
      <c r="A7" s="75" t="s">
        <v>206</v>
      </c>
      <c r="B7" s="76" t="s">
        <v>199</v>
      </c>
      <c r="C7" s="75" t="s">
        <v>207</v>
      </c>
      <c r="D7" s="75" t="s">
        <v>208</v>
      </c>
      <c r="E7" s="76" t="s">
        <v>202</v>
      </c>
      <c r="F7" s="76" t="s">
        <v>203</v>
      </c>
      <c r="G7" s="77">
        <v>4000000.0</v>
      </c>
      <c r="H7" s="78">
        <v>31500.0</v>
      </c>
      <c r="I7" s="76" t="s">
        <v>204</v>
      </c>
      <c r="J7" s="75" t="s">
        <v>209</v>
      </c>
      <c r="K7" s="77">
        <f t="shared" si="1"/>
        <v>378000</v>
      </c>
    </row>
    <row r="8">
      <c r="A8" s="75" t="s">
        <v>210</v>
      </c>
      <c r="B8" s="76" t="s">
        <v>199</v>
      </c>
      <c r="C8" s="75" t="s">
        <v>211</v>
      </c>
      <c r="D8" s="75" t="s">
        <v>212</v>
      </c>
      <c r="E8" s="76" t="s">
        <v>202</v>
      </c>
      <c r="F8" s="76" t="s">
        <v>203</v>
      </c>
      <c r="G8" s="77">
        <v>3500000.0</v>
      </c>
      <c r="H8" s="78">
        <v>31500.0</v>
      </c>
      <c r="I8" s="76" t="s">
        <v>213</v>
      </c>
      <c r="J8" s="75" t="s">
        <v>214</v>
      </c>
      <c r="K8" s="77">
        <f t="shared" si="1"/>
        <v>378000</v>
      </c>
    </row>
    <row r="9">
      <c r="A9" s="75" t="s">
        <v>215</v>
      </c>
      <c r="B9" s="76" t="s">
        <v>199</v>
      </c>
      <c r="C9" s="75" t="s">
        <v>216</v>
      </c>
      <c r="D9" s="75" t="s">
        <v>217</v>
      </c>
      <c r="E9" s="76" t="s">
        <v>202</v>
      </c>
      <c r="F9" s="76" t="s">
        <v>203</v>
      </c>
      <c r="G9" s="77">
        <v>4000000.0</v>
      </c>
      <c r="H9" s="78">
        <v>31500.0</v>
      </c>
      <c r="I9" s="76" t="s">
        <v>204</v>
      </c>
      <c r="J9" s="75" t="s">
        <v>218</v>
      </c>
      <c r="K9" s="77">
        <f t="shared" si="1"/>
        <v>378000</v>
      </c>
    </row>
    <row r="10">
      <c r="A10" s="75" t="s">
        <v>219</v>
      </c>
      <c r="B10" s="76" t="s">
        <v>199</v>
      </c>
      <c r="C10" s="75" t="s">
        <v>216</v>
      </c>
      <c r="D10" s="75" t="s">
        <v>220</v>
      </c>
      <c r="E10" s="76" t="s">
        <v>202</v>
      </c>
      <c r="F10" s="76" t="s">
        <v>163</v>
      </c>
      <c r="G10" s="77">
        <v>2000000.0</v>
      </c>
      <c r="H10" s="78">
        <v>16500.0</v>
      </c>
      <c r="I10" s="76" t="s">
        <v>204</v>
      </c>
      <c r="J10" s="75" t="s">
        <v>221</v>
      </c>
      <c r="K10" s="77">
        <f t="shared" si="1"/>
        <v>198000</v>
      </c>
    </row>
    <row r="11">
      <c r="A11" s="75" t="s">
        <v>222</v>
      </c>
      <c r="B11" s="76" t="s">
        <v>199</v>
      </c>
      <c r="C11" s="75" t="s">
        <v>211</v>
      </c>
      <c r="D11" s="75" t="s">
        <v>223</v>
      </c>
      <c r="E11" s="76" t="s">
        <v>202</v>
      </c>
      <c r="F11" s="76" t="s">
        <v>163</v>
      </c>
      <c r="G11" s="77">
        <v>2500000.0</v>
      </c>
      <c r="H11" s="78">
        <v>16500.0</v>
      </c>
      <c r="I11" s="76" t="s">
        <v>213</v>
      </c>
      <c r="J11" s="75" t="s">
        <v>224</v>
      </c>
      <c r="K11" s="77">
        <f t="shared" si="1"/>
        <v>198000</v>
      </c>
    </row>
    <row r="12">
      <c r="A12" s="75" t="s">
        <v>225</v>
      </c>
      <c r="B12" s="76" t="s">
        <v>199</v>
      </c>
      <c r="C12" s="75" t="s">
        <v>216</v>
      </c>
      <c r="D12" s="75" t="s">
        <v>226</v>
      </c>
      <c r="E12" s="76" t="s">
        <v>202</v>
      </c>
      <c r="F12" s="76" t="s">
        <v>163</v>
      </c>
      <c r="G12" s="77">
        <v>1500000.0</v>
      </c>
      <c r="H12" s="78">
        <v>16500.0</v>
      </c>
      <c r="I12" s="76" t="s">
        <v>204</v>
      </c>
      <c r="J12" s="75" t="s">
        <v>227</v>
      </c>
      <c r="K12" s="77">
        <f t="shared" si="1"/>
        <v>198000</v>
      </c>
    </row>
    <row r="13">
      <c r="A13" s="75" t="s">
        <v>228</v>
      </c>
      <c r="B13" s="76" t="s">
        <v>199</v>
      </c>
      <c r="C13" s="75" t="s">
        <v>229</v>
      </c>
      <c r="D13" s="75" t="s">
        <v>230</v>
      </c>
      <c r="E13" s="76" t="s">
        <v>202</v>
      </c>
      <c r="F13" s="76" t="s">
        <v>231</v>
      </c>
      <c r="G13" s="78">
        <v>800000.0</v>
      </c>
      <c r="H13" s="78">
        <v>9000.0</v>
      </c>
      <c r="I13" s="76" t="s">
        <v>213</v>
      </c>
      <c r="J13" s="75" t="s">
        <v>232</v>
      </c>
      <c r="K13" s="77">
        <f t="shared" si="1"/>
        <v>108000</v>
      </c>
    </row>
    <row r="14">
      <c r="A14" s="75" t="s">
        <v>233</v>
      </c>
      <c r="B14" s="76" t="s">
        <v>199</v>
      </c>
      <c r="C14" s="75" t="s">
        <v>229</v>
      </c>
      <c r="D14" s="75" t="s">
        <v>234</v>
      </c>
      <c r="E14" s="76" t="s">
        <v>202</v>
      </c>
      <c r="F14" s="76" t="s">
        <v>231</v>
      </c>
      <c r="G14" s="78">
        <v>600000.0</v>
      </c>
      <c r="H14" s="78">
        <v>9000.0</v>
      </c>
      <c r="I14" s="76" t="s">
        <v>204</v>
      </c>
      <c r="J14" s="75" t="s">
        <v>235</v>
      </c>
      <c r="K14" s="77">
        <f t="shared" si="1"/>
        <v>108000</v>
      </c>
    </row>
    <row r="15">
      <c r="A15" s="75" t="s">
        <v>236</v>
      </c>
      <c r="B15" s="76" t="s">
        <v>199</v>
      </c>
      <c r="C15" s="75" t="s">
        <v>237</v>
      </c>
      <c r="D15" s="75" t="s">
        <v>238</v>
      </c>
      <c r="E15" s="76" t="s">
        <v>202</v>
      </c>
      <c r="F15" s="76" t="s">
        <v>163</v>
      </c>
      <c r="G15" s="77">
        <v>1500000.0</v>
      </c>
      <c r="H15" s="78">
        <v>16500.0</v>
      </c>
      <c r="I15" s="76" t="s">
        <v>213</v>
      </c>
      <c r="J15" s="75" t="s">
        <v>239</v>
      </c>
      <c r="K15" s="77">
        <f t="shared" si="1"/>
        <v>198000</v>
      </c>
    </row>
    <row r="16">
      <c r="A16" s="75" t="s">
        <v>240</v>
      </c>
      <c r="B16" s="76" t="s">
        <v>199</v>
      </c>
      <c r="C16" s="75" t="s">
        <v>241</v>
      </c>
      <c r="D16" s="75" t="s">
        <v>242</v>
      </c>
      <c r="E16" s="76" t="s">
        <v>202</v>
      </c>
      <c r="F16" s="76" t="s">
        <v>231</v>
      </c>
      <c r="G16" s="78">
        <v>700000.0</v>
      </c>
      <c r="H16" s="78">
        <v>9000.0</v>
      </c>
      <c r="I16" s="76" t="s">
        <v>213</v>
      </c>
      <c r="J16" s="75" t="s">
        <v>243</v>
      </c>
      <c r="K16" s="77">
        <f t="shared" si="1"/>
        <v>108000</v>
      </c>
    </row>
    <row r="17">
      <c r="A17" s="75" t="s">
        <v>244</v>
      </c>
      <c r="B17" s="76" t="s">
        <v>199</v>
      </c>
      <c r="C17" s="75" t="s">
        <v>216</v>
      </c>
      <c r="D17" s="75" t="s">
        <v>245</v>
      </c>
      <c r="E17" s="76" t="s">
        <v>202</v>
      </c>
      <c r="F17" s="76" t="s">
        <v>246</v>
      </c>
      <c r="G17" s="78">
        <v>250000.0</v>
      </c>
      <c r="H17" s="78">
        <v>1500.0</v>
      </c>
      <c r="I17" s="76" t="s">
        <v>204</v>
      </c>
      <c r="J17" s="75" t="s">
        <v>247</v>
      </c>
      <c r="K17" s="77">
        <f t="shared" si="1"/>
        <v>18000</v>
      </c>
    </row>
    <row r="18">
      <c r="A18" s="75" t="s">
        <v>248</v>
      </c>
      <c r="B18" s="76" t="s">
        <v>199</v>
      </c>
      <c r="C18" s="75" t="s">
        <v>249</v>
      </c>
      <c r="D18" s="75" t="s">
        <v>250</v>
      </c>
      <c r="E18" s="76" t="s">
        <v>202</v>
      </c>
      <c r="F18" s="76" t="s">
        <v>246</v>
      </c>
      <c r="G18" s="78">
        <v>200000.0</v>
      </c>
      <c r="H18" s="78">
        <v>1500.0</v>
      </c>
      <c r="I18" s="76" t="s">
        <v>204</v>
      </c>
      <c r="J18" s="75" t="s">
        <v>251</v>
      </c>
      <c r="K18" s="77">
        <f t="shared" si="1"/>
        <v>18000</v>
      </c>
    </row>
    <row r="19">
      <c r="A19" s="79" t="s">
        <v>252</v>
      </c>
      <c r="B19" s="80" t="s">
        <v>199</v>
      </c>
      <c r="C19" s="79" t="s">
        <v>253</v>
      </c>
      <c r="D19" s="79" t="s">
        <v>254</v>
      </c>
      <c r="E19" s="80" t="s">
        <v>255</v>
      </c>
      <c r="F19" s="80" t="s">
        <v>163</v>
      </c>
      <c r="G19" s="81">
        <v>500000.0</v>
      </c>
      <c r="H19" s="81">
        <v>3500.0</v>
      </c>
      <c r="I19" s="80" t="s">
        <v>256</v>
      </c>
      <c r="J19" s="79" t="s">
        <v>257</v>
      </c>
      <c r="K19" s="82">
        <f t="shared" si="1"/>
        <v>42000</v>
      </c>
    </row>
    <row r="20">
      <c r="A20" s="79" t="s">
        <v>258</v>
      </c>
      <c r="B20" s="80" t="s">
        <v>199</v>
      </c>
      <c r="C20" s="79" t="s">
        <v>259</v>
      </c>
      <c r="D20" s="79" t="s">
        <v>260</v>
      </c>
      <c r="E20" s="80" t="s">
        <v>255</v>
      </c>
      <c r="F20" s="80" t="s">
        <v>162</v>
      </c>
      <c r="G20" s="81">
        <v>100000.0</v>
      </c>
      <c r="H20" s="81">
        <v>2500.0</v>
      </c>
      <c r="I20" s="80" t="s">
        <v>213</v>
      </c>
      <c r="J20" s="79" t="s">
        <v>261</v>
      </c>
      <c r="K20" s="82">
        <f t="shared" si="1"/>
        <v>30000</v>
      </c>
    </row>
    <row r="21">
      <c r="A21" s="79" t="s">
        <v>262</v>
      </c>
      <c r="B21" s="80" t="s">
        <v>199</v>
      </c>
      <c r="C21" s="79" t="s">
        <v>263</v>
      </c>
      <c r="D21" s="79" t="s">
        <v>264</v>
      </c>
      <c r="E21" s="80" t="s">
        <v>255</v>
      </c>
      <c r="F21" s="80" t="s">
        <v>162</v>
      </c>
      <c r="G21" s="81">
        <v>300000.0</v>
      </c>
      <c r="H21" s="81">
        <v>2500.0</v>
      </c>
      <c r="I21" s="80" t="s">
        <v>213</v>
      </c>
      <c r="J21" s="79" t="s">
        <v>265</v>
      </c>
      <c r="K21" s="82">
        <f t="shared" si="1"/>
        <v>30000</v>
      </c>
    </row>
    <row r="22">
      <c r="A22" s="79" t="s">
        <v>266</v>
      </c>
      <c r="B22" s="80" t="s">
        <v>199</v>
      </c>
      <c r="C22" s="79" t="s">
        <v>216</v>
      </c>
      <c r="D22" s="79" t="s">
        <v>267</v>
      </c>
      <c r="E22" s="80" t="s">
        <v>255</v>
      </c>
      <c r="F22" s="80" t="s">
        <v>162</v>
      </c>
      <c r="G22" s="81">
        <v>200000.0</v>
      </c>
      <c r="H22" s="81">
        <v>2500.0</v>
      </c>
      <c r="I22" s="80" t="s">
        <v>204</v>
      </c>
      <c r="J22" s="79" t="s">
        <v>268</v>
      </c>
      <c r="K22" s="82">
        <f t="shared" si="1"/>
        <v>30000</v>
      </c>
    </row>
    <row r="23">
      <c r="A23" s="79" t="s">
        <v>269</v>
      </c>
      <c r="B23" s="80" t="s">
        <v>199</v>
      </c>
      <c r="C23" s="79" t="s">
        <v>229</v>
      </c>
      <c r="D23" s="79" t="s">
        <v>270</v>
      </c>
      <c r="E23" s="80" t="s">
        <v>255</v>
      </c>
      <c r="F23" s="80" t="s">
        <v>162</v>
      </c>
      <c r="G23" s="81">
        <v>50000.0</v>
      </c>
      <c r="H23" s="81">
        <v>2500.0</v>
      </c>
      <c r="I23" s="80" t="s">
        <v>213</v>
      </c>
      <c r="J23" s="79" t="s">
        <v>271</v>
      </c>
      <c r="K23" s="82">
        <f t="shared" si="1"/>
        <v>30000</v>
      </c>
    </row>
    <row r="24">
      <c r="A24" s="79" t="s">
        <v>272</v>
      </c>
      <c r="B24" s="80" t="s">
        <v>199</v>
      </c>
      <c r="C24" s="79" t="s">
        <v>273</v>
      </c>
      <c r="D24" s="79" t="s">
        <v>274</v>
      </c>
      <c r="E24" s="80" t="s">
        <v>255</v>
      </c>
      <c r="F24" s="80" t="s">
        <v>162</v>
      </c>
      <c r="G24" s="81">
        <v>300000.0</v>
      </c>
      <c r="H24" s="81">
        <v>2500.0</v>
      </c>
      <c r="I24" s="80" t="s">
        <v>213</v>
      </c>
      <c r="J24" s="79" t="s">
        <v>275</v>
      </c>
      <c r="K24" s="82">
        <f t="shared" si="1"/>
        <v>30000</v>
      </c>
    </row>
    <row r="25">
      <c r="A25" s="79" t="s">
        <v>276</v>
      </c>
      <c r="B25" s="80" t="s">
        <v>199</v>
      </c>
      <c r="C25" s="79" t="s">
        <v>216</v>
      </c>
      <c r="D25" s="79" t="s">
        <v>277</v>
      </c>
      <c r="E25" s="80" t="s">
        <v>255</v>
      </c>
      <c r="F25" s="80" t="s">
        <v>162</v>
      </c>
      <c r="G25" s="81">
        <v>50000.0</v>
      </c>
      <c r="H25" s="81">
        <v>2500.0</v>
      </c>
      <c r="I25" s="80" t="s">
        <v>256</v>
      </c>
      <c r="J25" s="79" t="s">
        <v>278</v>
      </c>
      <c r="K25" s="82">
        <f t="shared" si="1"/>
        <v>30000</v>
      </c>
    </row>
    <row r="26">
      <c r="A26" s="75" t="s">
        <v>279</v>
      </c>
      <c r="B26" s="76" t="s">
        <v>280</v>
      </c>
      <c r="C26" s="75" t="s">
        <v>229</v>
      </c>
      <c r="D26" s="75" t="s">
        <v>281</v>
      </c>
      <c r="E26" s="76" t="s">
        <v>202</v>
      </c>
      <c r="F26" s="76" t="s">
        <v>203</v>
      </c>
      <c r="G26" s="77">
        <v>4000000.0</v>
      </c>
      <c r="H26" s="78">
        <v>31500.0</v>
      </c>
      <c r="I26" s="76" t="s">
        <v>204</v>
      </c>
      <c r="J26" s="75" t="s">
        <v>282</v>
      </c>
      <c r="K26" s="77">
        <f t="shared" si="1"/>
        <v>378000</v>
      </c>
    </row>
    <row r="27">
      <c r="A27" s="75" t="s">
        <v>283</v>
      </c>
      <c r="B27" s="76" t="s">
        <v>280</v>
      </c>
      <c r="C27" s="75" t="s">
        <v>207</v>
      </c>
      <c r="D27" s="75" t="s">
        <v>284</v>
      </c>
      <c r="E27" s="76" t="s">
        <v>202</v>
      </c>
      <c r="F27" s="76" t="s">
        <v>203</v>
      </c>
      <c r="G27" s="77">
        <v>1.25E7</v>
      </c>
      <c r="H27" s="78">
        <v>31500.0</v>
      </c>
      <c r="I27" s="76" t="s">
        <v>204</v>
      </c>
      <c r="J27" s="75" t="s">
        <v>285</v>
      </c>
      <c r="K27" s="77">
        <f t="shared" si="1"/>
        <v>378000</v>
      </c>
    </row>
    <row r="28">
      <c r="A28" s="75" t="s">
        <v>286</v>
      </c>
      <c r="B28" s="76" t="s">
        <v>280</v>
      </c>
      <c r="C28" s="75" t="s">
        <v>287</v>
      </c>
      <c r="D28" s="75" t="s">
        <v>288</v>
      </c>
      <c r="E28" s="76" t="s">
        <v>202</v>
      </c>
      <c r="F28" s="76" t="s">
        <v>203</v>
      </c>
      <c r="G28" s="77">
        <v>1.0E7</v>
      </c>
      <c r="H28" s="78">
        <v>31500.0</v>
      </c>
      <c r="I28" s="76" t="s">
        <v>213</v>
      </c>
      <c r="J28" s="75" t="s">
        <v>289</v>
      </c>
      <c r="K28" s="77">
        <f t="shared" si="1"/>
        <v>378000</v>
      </c>
    </row>
    <row r="29">
      <c r="A29" s="75" t="s">
        <v>290</v>
      </c>
      <c r="B29" s="76" t="s">
        <v>280</v>
      </c>
      <c r="C29" s="75" t="s">
        <v>216</v>
      </c>
      <c r="D29" s="75" t="s">
        <v>291</v>
      </c>
      <c r="E29" s="76" t="s">
        <v>202</v>
      </c>
      <c r="F29" s="76" t="s">
        <v>163</v>
      </c>
      <c r="G29" s="77">
        <v>2000000.0</v>
      </c>
      <c r="H29" s="78">
        <v>16500.0</v>
      </c>
      <c r="I29" s="76" t="s">
        <v>204</v>
      </c>
      <c r="J29" s="75" t="s">
        <v>292</v>
      </c>
      <c r="K29" s="77">
        <f t="shared" si="1"/>
        <v>198000</v>
      </c>
    </row>
    <row r="30">
      <c r="A30" s="75" t="s">
        <v>293</v>
      </c>
      <c r="B30" s="76" t="s">
        <v>280</v>
      </c>
      <c r="C30" s="75" t="s">
        <v>216</v>
      </c>
      <c r="D30" s="75" t="s">
        <v>294</v>
      </c>
      <c r="E30" s="76" t="s">
        <v>202</v>
      </c>
      <c r="F30" s="76" t="s">
        <v>163</v>
      </c>
      <c r="G30" s="77">
        <v>2000000.0</v>
      </c>
      <c r="H30" s="78">
        <v>16500.0</v>
      </c>
      <c r="I30" s="76" t="s">
        <v>204</v>
      </c>
      <c r="J30" s="75" t="s">
        <v>295</v>
      </c>
      <c r="K30" s="77">
        <f t="shared" si="1"/>
        <v>198000</v>
      </c>
    </row>
    <row r="31">
      <c r="A31" s="75" t="s">
        <v>296</v>
      </c>
      <c r="B31" s="76" t="s">
        <v>280</v>
      </c>
      <c r="C31" s="75" t="s">
        <v>229</v>
      </c>
      <c r="D31" s="75" t="s">
        <v>284</v>
      </c>
      <c r="E31" s="76" t="s">
        <v>202</v>
      </c>
      <c r="F31" s="76" t="s">
        <v>163</v>
      </c>
      <c r="G31" s="77">
        <v>1500000.0</v>
      </c>
      <c r="H31" s="78">
        <v>16500.0</v>
      </c>
      <c r="I31" s="76" t="s">
        <v>204</v>
      </c>
      <c r="J31" s="75" t="s">
        <v>297</v>
      </c>
      <c r="K31" s="77">
        <f t="shared" si="1"/>
        <v>198000</v>
      </c>
    </row>
    <row r="32">
      <c r="A32" s="75" t="s">
        <v>298</v>
      </c>
      <c r="B32" s="76" t="s">
        <v>280</v>
      </c>
      <c r="C32" s="75" t="s">
        <v>200</v>
      </c>
      <c r="D32" s="75" t="s">
        <v>284</v>
      </c>
      <c r="E32" s="76" t="s">
        <v>202</v>
      </c>
      <c r="F32" s="76" t="s">
        <v>163</v>
      </c>
      <c r="G32" s="77">
        <v>3000000.0</v>
      </c>
      <c r="H32" s="78">
        <v>16500.0</v>
      </c>
      <c r="I32" s="76" t="s">
        <v>213</v>
      </c>
      <c r="J32" s="75" t="s">
        <v>299</v>
      </c>
      <c r="K32" s="77">
        <f t="shared" si="1"/>
        <v>198000</v>
      </c>
    </row>
    <row r="33">
      <c r="A33" s="79" t="s">
        <v>300</v>
      </c>
      <c r="B33" s="80" t="s">
        <v>280</v>
      </c>
      <c r="C33" s="79" t="s">
        <v>241</v>
      </c>
      <c r="D33" s="79" t="s">
        <v>284</v>
      </c>
      <c r="E33" s="80" t="s">
        <v>255</v>
      </c>
      <c r="F33" s="80" t="s">
        <v>163</v>
      </c>
      <c r="G33" s="81">
        <v>500000.0</v>
      </c>
      <c r="H33" s="81">
        <v>3500.0</v>
      </c>
      <c r="I33" s="80" t="s">
        <v>204</v>
      </c>
      <c r="J33" s="79" t="s">
        <v>301</v>
      </c>
      <c r="K33" s="82">
        <f t="shared" si="1"/>
        <v>42000</v>
      </c>
    </row>
    <row r="34">
      <c r="A34" s="83" t="s">
        <v>302</v>
      </c>
      <c r="B34" s="80" t="s">
        <v>280</v>
      </c>
      <c r="C34" s="79" t="s">
        <v>216</v>
      </c>
      <c r="D34" s="79" t="s">
        <v>303</v>
      </c>
      <c r="E34" s="80" t="s">
        <v>255</v>
      </c>
      <c r="F34" s="80" t="s">
        <v>163</v>
      </c>
      <c r="G34" s="82">
        <v>2000000.0</v>
      </c>
      <c r="H34" s="81">
        <v>3500.0</v>
      </c>
      <c r="I34" s="80" t="s">
        <v>204</v>
      </c>
      <c r="J34" s="79" t="s">
        <v>304</v>
      </c>
      <c r="K34" s="82">
        <f t="shared" si="1"/>
        <v>42000</v>
      </c>
    </row>
    <row r="35">
      <c r="A35" s="79" t="s">
        <v>305</v>
      </c>
      <c r="B35" s="80" t="s">
        <v>280</v>
      </c>
      <c r="C35" s="79" t="s">
        <v>216</v>
      </c>
      <c r="D35" s="79" t="s">
        <v>306</v>
      </c>
      <c r="E35" s="80" t="s">
        <v>255</v>
      </c>
      <c r="F35" s="80" t="s">
        <v>163</v>
      </c>
      <c r="G35" s="82">
        <v>1500000.0</v>
      </c>
      <c r="H35" s="81">
        <v>3500.0</v>
      </c>
      <c r="I35" s="80" t="s">
        <v>204</v>
      </c>
      <c r="J35" s="79" t="s">
        <v>307</v>
      </c>
      <c r="K35" s="82">
        <f t="shared" si="1"/>
        <v>42000</v>
      </c>
    </row>
    <row r="36">
      <c r="A36" s="79" t="s">
        <v>308</v>
      </c>
      <c r="B36" s="80" t="s">
        <v>280</v>
      </c>
      <c r="C36" s="79" t="s">
        <v>216</v>
      </c>
      <c r="D36" s="79" t="s">
        <v>303</v>
      </c>
      <c r="E36" s="80" t="s">
        <v>255</v>
      </c>
      <c r="F36" s="80" t="s">
        <v>163</v>
      </c>
      <c r="G36" s="82">
        <v>1000000.0</v>
      </c>
      <c r="H36" s="81">
        <v>3500.0</v>
      </c>
      <c r="I36" s="80" t="s">
        <v>204</v>
      </c>
      <c r="J36" s="79" t="s">
        <v>309</v>
      </c>
      <c r="K36" s="82">
        <f t="shared" si="1"/>
        <v>42000</v>
      </c>
    </row>
    <row r="37">
      <c r="A37" s="79" t="s">
        <v>310</v>
      </c>
      <c r="B37" s="80" t="s">
        <v>280</v>
      </c>
      <c r="C37" s="79" t="s">
        <v>311</v>
      </c>
      <c r="D37" s="79" t="s">
        <v>312</v>
      </c>
      <c r="E37" s="80" t="s">
        <v>255</v>
      </c>
      <c r="F37" s="80" t="s">
        <v>164</v>
      </c>
      <c r="G37" s="82">
        <v>1000000.0</v>
      </c>
      <c r="H37" s="81">
        <v>5000.0</v>
      </c>
      <c r="I37" s="80" t="s">
        <v>213</v>
      </c>
      <c r="J37" s="79" t="s">
        <v>313</v>
      </c>
      <c r="K37" s="82">
        <f t="shared" si="1"/>
        <v>60000</v>
      </c>
    </row>
    <row r="38">
      <c r="A38" s="79" t="s">
        <v>314</v>
      </c>
      <c r="B38" s="80" t="s">
        <v>280</v>
      </c>
      <c r="C38" s="79" t="s">
        <v>229</v>
      </c>
      <c r="D38" s="79" t="s">
        <v>284</v>
      </c>
      <c r="E38" s="80" t="s">
        <v>255</v>
      </c>
      <c r="F38" s="80" t="s">
        <v>162</v>
      </c>
      <c r="G38" s="81">
        <v>200000.0</v>
      </c>
      <c r="H38" s="81">
        <v>2500.0</v>
      </c>
      <c r="I38" s="80" t="s">
        <v>213</v>
      </c>
      <c r="J38" s="79" t="s">
        <v>315</v>
      </c>
      <c r="K38" s="82">
        <f t="shared" si="1"/>
        <v>30000</v>
      </c>
    </row>
    <row r="39">
      <c r="A39" s="79" t="s">
        <v>316</v>
      </c>
      <c r="B39" s="80" t="s">
        <v>280</v>
      </c>
      <c r="C39" s="79" t="s">
        <v>216</v>
      </c>
      <c r="D39" s="79" t="s">
        <v>317</v>
      </c>
      <c r="E39" s="80" t="s">
        <v>255</v>
      </c>
      <c r="F39" s="80" t="s">
        <v>163</v>
      </c>
      <c r="G39" s="81">
        <v>500000.0</v>
      </c>
      <c r="H39" s="81">
        <v>3500.0</v>
      </c>
      <c r="I39" s="80" t="s">
        <v>213</v>
      </c>
      <c r="J39" s="79" t="s">
        <v>318</v>
      </c>
      <c r="K39" s="82">
        <f t="shared" si="1"/>
        <v>42000</v>
      </c>
    </row>
    <row r="40">
      <c r="A40" s="79" t="s">
        <v>319</v>
      </c>
      <c r="B40" s="80" t="s">
        <v>280</v>
      </c>
      <c r="C40" s="79" t="s">
        <v>320</v>
      </c>
      <c r="D40" s="79" t="s">
        <v>284</v>
      </c>
      <c r="E40" s="80" t="s">
        <v>255</v>
      </c>
      <c r="F40" s="80" t="s">
        <v>163</v>
      </c>
      <c r="G40" s="81">
        <v>500000.0</v>
      </c>
      <c r="H40" s="81">
        <v>3500.0</v>
      </c>
      <c r="I40" s="80" t="s">
        <v>213</v>
      </c>
      <c r="J40" s="79" t="s">
        <v>321</v>
      </c>
      <c r="K40" s="82">
        <f t="shared" si="1"/>
        <v>42000</v>
      </c>
    </row>
    <row r="41">
      <c r="A41" s="84" t="s">
        <v>322</v>
      </c>
      <c r="B41" s="85"/>
      <c r="C41" s="85"/>
      <c r="D41" s="85"/>
      <c r="E41" s="85"/>
      <c r="F41" s="85"/>
      <c r="G41" s="85"/>
      <c r="H41" s="86">
        <f>sum(H6:H40)</f>
        <v>429500</v>
      </c>
      <c r="I41" s="85"/>
      <c r="J41" s="87"/>
      <c r="K41" s="86">
        <f>sum(K6:K40)</f>
        <v>5154000</v>
      </c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9"/>
      <c r="K42" s="88"/>
    </row>
    <row r="43">
      <c r="A43" s="71" t="s">
        <v>323</v>
      </c>
      <c r="B43" s="72"/>
      <c r="C43" s="72"/>
      <c r="D43" s="72"/>
      <c r="E43" s="72"/>
      <c r="F43" s="72"/>
      <c r="G43" s="72"/>
      <c r="H43" s="72"/>
      <c r="I43" s="72"/>
      <c r="J43" s="72"/>
      <c r="K43" s="73"/>
    </row>
    <row r="44">
      <c r="A44" s="74" t="s">
        <v>324</v>
      </c>
      <c r="B44" s="74" t="s">
        <v>325</v>
      </c>
      <c r="C44" s="74" t="s">
        <v>326</v>
      </c>
      <c r="D44" s="74" t="s">
        <v>327</v>
      </c>
      <c r="E44" s="74" t="s">
        <v>328</v>
      </c>
      <c r="F44" s="74" t="s">
        <v>329</v>
      </c>
      <c r="G44" s="90"/>
      <c r="H44" s="91"/>
      <c r="I44" s="91"/>
      <c r="J44" s="91"/>
      <c r="K44" s="91"/>
    </row>
    <row r="45">
      <c r="A45" s="75" t="s">
        <v>330</v>
      </c>
      <c r="B45" s="76">
        <v>2.0</v>
      </c>
      <c r="C45" s="78">
        <v>1500.0</v>
      </c>
      <c r="D45" s="78">
        <v>3000.0</v>
      </c>
      <c r="E45" s="76">
        <v>2.0</v>
      </c>
      <c r="F45" s="92" t="s">
        <v>331</v>
      </c>
      <c r="G45" s="93"/>
      <c r="H45" s="94"/>
      <c r="I45" s="94"/>
      <c r="J45" s="94"/>
      <c r="K45" s="94"/>
    </row>
    <row r="46">
      <c r="A46" s="75" t="s">
        <v>332</v>
      </c>
      <c r="B46" s="76">
        <v>3.0</v>
      </c>
      <c r="C46" s="78">
        <v>9000.0</v>
      </c>
      <c r="D46" s="78">
        <v>27000.0</v>
      </c>
      <c r="E46" s="76">
        <v>1.0</v>
      </c>
      <c r="F46" s="92" t="s">
        <v>233</v>
      </c>
      <c r="G46" s="93"/>
      <c r="H46" s="94"/>
      <c r="I46" s="94"/>
      <c r="J46" s="94"/>
      <c r="K46" s="94"/>
    </row>
    <row r="47">
      <c r="A47" s="75" t="s">
        <v>333</v>
      </c>
      <c r="B47" s="76">
        <v>7.0</v>
      </c>
      <c r="C47" s="78">
        <v>16500.0</v>
      </c>
      <c r="D47" s="78">
        <v>115500.0</v>
      </c>
      <c r="E47" s="76">
        <v>5.0</v>
      </c>
      <c r="F47" s="92" t="s">
        <v>334</v>
      </c>
      <c r="G47" s="93"/>
      <c r="H47" s="94"/>
      <c r="I47" s="94"/>
      <c r="J47" s="94"/>
      <c r="K47" s="94"/>
    </row>
    <row r="48">
      <c r="A48" s="75" t="s">
        <v>335</v>
      </c>
      <c r="B48" s="76">
        <v>7.0</v>
      </c>
      <c r="C48" s="78">
        <v>31500.0</v>
      </c>
      <c r="D48" s="78">
        <v>220500.0</v>
      </c>
      <c r="E48" s="76">
        <v>5.0</v>
      </c>
      <c r="F48" s="92" t="s">
        <v>336</v>
      </c>
      <c r="G48" s="93"/>
      <c r="H48" s="94"/>
      <c r="I48" s="94"/>
      <c r="J48" s="94"/>
      <c r="K48" s="94"/>
    </row>
    <row r="49">
      <c r="A49" s="79" t="s">
        <v>337</v>
      </c>
      <c r="B49" s="80">
        <v>7.0</v>
      </c>
      <c r="C49" s="81">
        <v>2500.0</v>
      </c>
      <c r="D49" s="81">
        <v>17500.0</v>
      </c>
      <c r="E49" s="80">
        <v>1.0</v>
      </c>
      <c r="F49" s="95" t="s">
        <v>266</v>
      </c>
      <c r="G49" s="93"/>
      <c r="H49" s="94"/>
      <c r="I49" s="94"/>
      <c r="J49" s="94"/>
      <c r="K49" s="94"/>
    </row>
    <row r="50">
      <c r="A50" s="79" t="s">
        <v>338</v>
      </c>
      <c r="B50" s="80">
        <v>8.0</v>
      </c>
      <c r="C50" s="81">
        <v>3500.0</v>
      </c>
      <c r="D50" s="81">
        <v>28000.0</v>
      </c>
      <c r="E50" s="80">
        <v>4.0</v>
      </c>
      <c r="F50" s="95" t="s">
        <v>339</v>
      </c>
      <c r="G50" s="93"/>
      <c r="H50" s="94"/>
      <c r="I50" s="94"/>
      <c r="J50" s="94"/>
      <c r="K50" s="94"/>
    </row>
    <row r="51">
      <c r="A51" s="79" t="s">
        <v>340</v>
      </c>
      <c r="B51" s="80">
        <v>1.0</v>
      </c>
      <c r="C51" s="81">
        <v>5000.0</v>
      </c>
      <c r="D51" s="81">
        <v>5000.0</v>
      </c>
      <c r="E51" s="80">
        <v>0.0</v>
      </c>
      <c r="F51" s="95" t="s">
        <v>341</v>
      </c>
      <c r="G51" s="93"/>
      <c r="H51" s="94"/>
      <c r="I51" s="94"/>
      <c r="J51" s="94"/>
      <c r="K51" s="94"/>
    </row>
    <row r="52">
      <c r="A52" s="84" t="s">
        <v>342</v>
      </c>
      <c r="B52" s="96">
        <v>35.0</v>
      </c>
      <c r="C52" s="97"/>
      <c r="D52" s="86">
        <f>sum(D45:D51)</f>
        <v>416500</v>
      </c>
      <c r="E52" s="85"/>
      <c r="F52" s="85"/>
      <c r="G52" s="93"/>
      <c r="H52" s="94"/>
      <c r="I52" s="94"/>
      <c r="J52" s="94"/>
      <c r="K52" s="94"/>
    </row>
    <row r="53">
      <c r="A53" s="88"/>
      <c r="B53" s="88"/>
      <c r="C53" s="88"/>
      <c r="D53" s="88"/>
      <c r="E53" s="88"/>
      <c r="F53" s="88"/>
      <c r="G53" s="89"/>
      <c r="H53" s="89"/>
      <c r="I53" s="89"/>
      <c r="J53" s="89"/>
      <c r="K53" s="89"/>
    </row>
    <row r="54">
      <c r="A54" s="71" t="s">
        <v>343</v>
      </c>
      <c r="B54" s="72"/>
      <c r="C54" s="72"/>
      <c r="D54" s="72"/>
      <c r="E54" s="72"/>
      <c r="F54" s="72"/>
      <c r="G54" s="72"/>
      <c r="H54" s="72"/>
      <c r="I54" s="72"/>
      <c r="J54" s="72"/>
      <c r="K54" s="73"/>
    </row>
    <row r="55">
      <c r="A55" s="74" t="s">
        <v>101</v>
      </c>
      <c r="B55" s="74" t="s">
        <v>344</v>
      </c>
      <c r="C55" s="74" t="s">
        <v>345</v>
      </c>
      <c r="D55" s="74" t="s">
        <v>346</v>
      </c>
      <c r="E55" s="74" t="s">
        <v>347</v>
      </c>
      <c r="F55" s="74" t="s">
        <v>348</v>
      </c>
      <c r="G55" s="74" t="s">
        <v>349</v>
      </c>
      <c r="H55" s="74" t="s">
        <v>350</v>
      </c>
      <c r="I55" s="74" t="s">
        <v>351</v>
      </c>
      <c r="J55" s="74" t="s">
        <v>352</v>
      </c>
      <c r="K55" s="74" t="s">
        <v>353</v>
      </c>
    </row>
    <row r="56">
      <c r="A56" s="98" t="s">
        <v>354</v>
      </c>
      <c r="B56" s="99">
        <v>0.15</v>
      </c>
      <c r="C56" s="100">
        <v>0.0</v>
      </c>
      <c r="D56" s="100">
        <v>0.0</v>
      </c>
      <c r="E56" s="100">
        <v>1.0</v>
      </c>
      <c r="F56" s="100">
        <v>1.0</v>
      </c>
      <c r="G56" s="100">
        <v>1.0</v>
      </c>
      <c r="H56" s="100">
        <v>1.0</v>
      </c>
      <c r="I56" s="100">
        <v>0.0</v>
      </c>
      <c r="J56" s="96">
        <v>4.0</v>
      </c>
      <c r="K56" s="101">
        <f t="shared" ref="K56:K60" si="2">mmult(C56:I56,C$45:C$51)</f>
        <v>54000</v>
      </c>
    </row>
    <row r="57">
      <c r="A57" s="98" t="s">
        <v>355</v>
      </c>
      <c r="B57" s="99">
        <v>0.25</v>
      </c>
      <c r="C57" s="100">
        <v>0.0</v>
      </c>
      <c r="D57" s="100">
        <v>1.0</v>
      </c>
      <c r="E57" s="100">
        <v>2.0</v>
      </c>
      <c r="F57" s="100">
        <v>2.0</v>
      </c>
      <c r="G57" s="100">
        <v>2.0</v>
      </c>
      <c r="H57" s="100">
        <v>2.0</v>
      </c>
      <c r="I57" s="100">
        <v>0.0</v>
      </c>
      <c r="J57" s="96">
        <v>9.0</v>
      </c>
      <c r="K57" s="101">
        <f t="shared" si="2"/>
        <v>117000</v>
      </c>
    </row>
    <row r="58">
      <c r="A58" s="98" t="s">
        <v>356</v>
      </c>
      <c r="B58" s="99">
        <v>0.35</v>
      </c>
      <c r="C58" s="100">
        <v>1.0</v>
      </c>
      <c r="D58" s="100">
        <v>1.0</v>
      </c>
      <c r="E58" s="100">
        <v>2.0</v>
      </c>
      <c r="F58" s="100">
        <v>2.0</v>
      </c>
      <c r="G58" s="100">
        <v>2.0</v>
      </c>
      <c r="H58" s="100">
        <v>3.0</v>
      </c>
      <c r="I58" s="100">
        <v>0.0</v>
      </c>
      <c r="J58" s="96">
        <v>11.0</v>
      </c>
      <c r="K58" s="101">
        <f t="shared" si="2"/>
        <v>122000</v>
      </c>
    </row>
    <row r="59">
      <c r="A59" s="98" t="s">
        <v>357</v>
      </c>
      <c r="B59" s="102" t="s">
        <v>358</v>
      </c>
      <c r="C59" s="100">
        <v>2.0</v>
      </c>
      <c r="D59" s="100">
        <v>1.0</v>
      </c>
      <c r="E59" s="100">
        <v>5.0</v>
      </c>
      <c r="F59" s="100">
        <v>5.0</v>
      </c>
      <c r="G59" s="100">
        <v>1.0</v>
      </c>
      <c r="H59" s="100">
        <v>4.0</v>
      </c>
      <c r="I59" s="100">
        <v>0.0</v>
      </c>
      <c r="J59" s="96">
        <v>18.0</v>
      </c>
      <c r="K59" s="101">
        <f t="shared" si="2"/>
        <v>268500</v>
      </c>
    </row>
    <row r="60">
      <c r="A60" s="98" t="s">
        <v>359</v>
      </c>
      <c r="B60" s="99">
        <v>1.0</v>
      </c>
      <c r="C60" s="100">
        <v>2.0</v>
      </c>
      <c r="D60" s="100">
        <v>3.0</v>
      </c>
      <c r="E60" s="100">
        <v>7.0</v>
      </c>
      <c r="F60" s="100">
        <v>7.0</v>
      </c>
      <c r="G60" s="100">
        <v>7.0</v>
      </c>
      <c r="H60" s="100">
        <v>8.0</v>
      </c>
      <c r="I60" s="100">
        <v>1.0</v>
      </c>
      <c r="J60" s="96">
        <v>35.0</v>
      </c>
      <c r="K60" s="101">
        <f t="shared" si="2"/>
        <v>416500</v>
      </c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</row>
    <row r="62">
      <c r="A62" s="71" t="s">
        <v>360</v>
      </c>
      <c r="B62" s="72"/>
      <c r="C62" s="72"/>
      <c r="D62" s="72"/>
      <c r="E62" s="72"/>
      <c r="F62" s="72"/>
      <c r="G62" s="72"/>
      <c r="H62" s="72"/>
      <c r="I62" s="72"/>
      <c r="J62" s="72"/>
      <c r="K62" s="73"/>
    </row>
    <row r="63">
      <c r="A63" s="74" t="s">
        <v>361</v>
      </c>
      <c r="B63" s="74" t="s">
        <v>362</v>
      </c>
      <c r="C63" s="74" t="s">
        <v>345</v>
      </c>
      <c r="D63" s="74" t="s">
        <v>346</v>
      </c>
      <c r="E63" s="74" t="s">
        <v>347</v>
      </c>
      <c r="F63" s="74" t="s">
        <v>348</v>
      </c>
      <c r="G63" s="74" t="s">
        <v>349</v>
      </c>
      <c r="H63" s="74" t="s">
        <v>350</v>
      </c>
      <c r="I63" s="74" t="s">
        <v>351</v>
      </c>
      <c r="J63" s="74" t="s">
        <v>352</v>
      </c>
      <c r="K63" s="74" t="s">
        <v>353</v>
      </c>
    </row>
    <row r="64">
      <c r="A64" s="98" t="s">
        <v>363</v>
      </c>
      <c r="B64" s="103" t="s">
        <v>364</v>
      </c>
      <c r="C64" s="100">
        <v>1.0</v>
      </c>
      <c r="D64" s="100">
        <v>1.0</v>
      </c>
      <c r="E64" s="100">
        <v>0.0</v>
      </c>
      <c r="F64" s="100">
        <v>0.0</v>
      </c>
      <c r="G64" s="100">
        <v>1.0</v>
      </c>
      <c r="H64" s="100">
        <v>1.0</v>
      </c>
      <c r="I64" s="100">
        <v>0.0</v>
      </c>
      <c r="J64" s="96">
        <v>4.0</v>
      </c>
      <c r="K64" s="101">
        <f t="shared" ref="K64:K68" si="3">mmult(C64:I64,C$45:C$51)</f>
        <v>16500</v>
      </c>
    </row>
    <row r="65">
      <c r="A65" s="98" t="s">
        <v>365</v>
      </c>
      <c r="B65" s="103" t="s">
        <v>366</v>
      </c>
      <c r="C65" s="100">
        <v>2.0</v>
      </c>
      <c r="D65" s="100">
        <v>1.0</v>
      </c>
      <c r="E65" s="100">
        <v>1.0</v>
      </c>
      <c r="F65" s="100">
        <v>0.0</v>
      </c>
      <c r="G65" s="100">
        <v>1.0</v>
      </c>
      <c r="H65" s="100">
        <v>2.0</v>
      </c>
      <c r="I65" s="100">
        <v>0.0</v>
      </c>
      <c r="J65" s="96">
        <v>7.0</v>
      </c>
      <c r="K65" s="101">
        <f t="shared" si="3"/>
        <v>38000</v>
      </c>
    </row>
    <row r="66">
      <c r="A66" s="98" t="s">
        <v>367</v>
      </c>
      <c r="B66" s="103" t="s">
        <v>368</v>
      </c>
      <c r="C66" s="100">
        <v>2.0</v>
      </c>
      <c r="D66" s="100">
        <v>2.0</v>
      </c>
      <c r="E66" s="100">
        <v>2.0</v>
      </c>
      <c r="F66" s="100">
        <v>1.0</v>
      </c>
      <c r="G66" s="100">
        <v>2.0</v>
      </c>
      <c r="H66" s="100">
        <v>3.0</v>
      </c>
      <c r="I66" s="100">
        <v>0.0</v>
      </c>
      <c r="J66" s="96">
        <v>12.0</v>
      </c>
      <c r="K66" s="101">
        <f t="shared" si="3"/>
        <v>101000</v>
      </c>
    </row>
    <row r="67">
      <c r="A67" s="98" t="s">
        <v>369</v>
      </c>
      <c r="B67" s="103" t="s">
        <v>370</v>
      </c>
      <c r="C67" s="100">
        <v>2.0</v>
      </c>
      <c r="D67" s="100">
        <v>2.0</v>
      </c>
      <c r="E67" s="100">
        <v>3.0</v>
      </c>
      <c r="F67" s="100">
        <v>2.0</v>
      </c>
      <c r="G67" s="100">
        <v>2.0</v>
      </c>
      <c r="H67" s="100">
        <v>4.0</v>
      </c>
      <c r="I67" s="100">
        <v>1.0</v>
      </c>
      <c r="J67" s="96">
        <v>16.0</v>
      </c>
      <c r="K67" s="101">
        <f t="shared" si="3"/>
        <v>157500</v>
      </c>
    </row>
    <row r="68">
      <c r="A68" s="98" t="s">
        <v>371</v>
      </c>
      <c r="B68" s="103" t="s">
        <v>372</v>
      </c>
      <c r="C68" s="100">
        <v>2.0</v>
      </c>
      <c r="D68" s="100">
        <v>3.0</v>
      </c>
      <c r="E68" s="100">
        <v>5.0</v>
      </c>
      <c r="F68" s="100">
        <v>3.0</v>
      </c>
      <c r="G68" s="100">
        <v>3.0</v>
      </c>
      <c r="H68" s="100">
        <v>5.0</v>
      </c>
      <c r="I68" s="100">
        <v>1.0</v>
      </c>
      <c r="J68" s="96">
        <v>22.0</v>
      </c>
      <c r="K68" s="101">
        <f t="shared" si="3"/>
        <v>237000</v>
      </c>
    </row>
    <row r="69">
      <c r="A69" s="104" t="s">
        <v>373</v>
      </c>
      <c r="B69" s="105"/>
      <c r="C69" s="105"/>
      <c r="D69" s="105"/>
      <c r="E69" s="105"/>
      <c r="F69" s="105"/>
      <c r="G69" s="105"/>
      <c r="H69" s="105"/>
      <c r="I69" s="105"/>
      <c r="J69" s="105"/>
      <c r="K69" s="106"/>
    </row>
  </sheetData>
  <mergeCells count="7">
    <mergeCell ref="A1:K1"/>
    <mergeCell ref="A2:K2"/>
    <mergeCell ref="A4:K4"/>
    <mergeCell ref="A43:K43"/>
    <mergeCell ref="A54:K54"/>
    <mergeCell ref="A62:K62"/>
    <mergeCell ref="A69:K6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11" width="14.0"/>
    <col customWidth="1" min="12" max="26" width="8.71"/>
  </cols>
  <sheetData>
    <row r="1" ht="25.5" customHeight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9.5" customHeight="1">
      <c r="A2" s="4" t="s">
        <v>375</v>
      </c>
      <c r="B2" s="2"/>
      <c r="C2" s="2"/>
      <c r="D2" s="2"/>
      <c r="E2" s="2"/>
      <c r="F2" s="2"/>
      <c r="G2" s="2"/>
      <c r="H2" s="2"/>
      <c r="I2" s="2"/>
      <c r="J2" s="2"/>
      <c r="K2" s="3"/>
    </row>
    <row r="4" ht="18.0" customHeight="1">
      <c r="A4" s="19" t="s">
        <v>376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18.0" customHeight="1">
      <c r="A5" s="5" t="s">
        <v>324</v>
      </c>
      <c r="B5" s="5" t="s">
        <v>377</v>
      </c>
      <c r="C5" s="5" t="s">
        <v>378</v>
      </c>
    </row>
    <row r="6" ht="15.75" customHeight="1">
      <c r="A6" s="31" t="s">
        <v>379</v>
      </c>
      <c r="B6" s="107" t="s">
        <v>380</v>
      </c>
      <c r="C6" s="108" t="s">
        <v>381</v>
      </c>
    </row>
    <row r="7" ht="15.75" customHeight="1">
      <c r="A7" s="36" t="s">
        <v>382</v>
      </c>
      <c r="B7" s="107" t="s">
        <v>383</v>
      </c>
      <c r="C7" s="108" t="s">
        <v>384</v>
      </c>
    </row>
    <row r="8" ht="15.75" customHeight="1">
      <c r="A8" s="31" t="s">
        <v>385</v>
      </c>
      <c r="B8" s="107" t="s">
        <v>386</v>
      </c>
      <c r="C8" s="108" t="s">
        <v>387</v>
      </c>
    </row>
    <row r="9" ht="15.75" customHeight="1">
      <c r="A9" s="36" t="s">
        <v>388</v>
      </c>
      <c r="B9" s="107" t="s">
        <v>389</v>
      </c>
      <c r="C9" s="108" t="s">
        <v>390</v>
      </c>
    </row>
    <row r="10" ht="15.75" customHeight="1">
      <c r="A10" s="31" t="s">
        <v>391</v>
      </c>
      <c r="B10" s="107" t="s">
        <v>392</v>
      </c>
      <c r="C10" s="108" t="s">
        <v>393</v>
      </c>
    </row>
    <row r="11" ht="15.75" customHeight="1">
      <c r="A11" s="36" t="s">
        <v>394</v>
      </c>
      <c r="B11" s="107" t="s">
        <v>395</v>
      </c>
      <c r="C11" s="108" t="s">
        <v>393</v>
      </c>
    </row>
    <row r="12" ht="15.75" customHeight="1">
      <c r="A12" s="31" t="s">
        <v>396</v>
      </c>
      <c r="B12" s="107" t="s">
        <v>54</v>
      </c>
      <c r="C12" s="108" t="s">
        <v>393</v>
      </c>
    </row>
    <row r="15" ht="18.0" customHeight="1">
      <c r="A15" s="19" t="s">
        <v>397</v>
      </c>
      <c r="B15" s="2"/>
      <c r="C15" s="2"/>
      <c r="D15" s="2"/>
      <c r="E15" s="2"/>
      <c r="F15" s="2"/>
      <c r="G15" s="2"/>
      <c r="H15" s="2"/>
      <c r="I15" s="2"/>
      <c r="J15" s="2"/>
      <c r="K15" s="3"/>
    </row>
    <row r="16" ht="26.25" customHeight="1">
      <c r="A16" s="5" t="s">
        <v>101</v>
      </c>
      <c r="B16" s="5" t="s">
        <v>398</v>
      </c>
      <c r="C16" s="5" t="s">
        <v>399</v>
      </c>
      <c r="D16" s="5" t="s">
        <v>400</v>
      </c>
      <c r="E16" s="5" t="s">
        <v>401</v>
      </c>
      <c r="F16" s="5" t="s">
        <v>402</v>
      </c>
      <c r="G16" s="5" t="s">
        <v>403</v>
      </c>
      <c r="H16" s="5" t="s">
        <v>404</v>
      </c>
      <c r="I16" s="5" t="s">
        <v>405</v>
      </c>
      <c r="J16" s="5" t="s">
        <v>406</v>
      </c>
      <c r="K16" s="5" t="s">
        <v>407</v>
      </c>
    </row>
    <row r="17" ht="15.75" customHeight="1">
      <c r="A17" s="40" t="s">
        <v>108</v>
      </c>
      <c r="B17" s="30">
        <f>'Enterprise Model'!B32</f>
        <v>0</v>
      </c>
      <c r="C17" s="30">
        <v>0.0</v>
      </c>
      <c r="D17" s="30">
        <v>0.0</v>
      </c>
      <c r="E17" s="30">
        <v>0.0</v>
      </c>
      <c r="F17" s="30">
        <f>'Greenfield Model'!B35</f>
        <v>1</v>
      </c>
      <c r="G17" s="30">
        <f>'Greenfield Model'!C35</f>
        <v>0</v>
      </c>
      <c r="H17" s="30">
        <f>'Greenfield Model'!D35</f>
        <v>0</v>
      </c>
      <c r="I17" s="42">
        <f t="shared" ref="I17:I23" si="1">B17+C17+D17+E17+F17+G17+H17</f>
        <v>1</v>
      </c>
      <c r="J17" s="35">
        <f t="shared" ref="J17:J23" si="2">B17*1500+C17*9000+D17*16500+E17*31500+F17*2500+G17*3500+H17*5000</f>
        <v>2500</v>
      </c>
      <c r="K17" s="34">
        <f t="shared" ref="K17:K23" si="3">B17*1500+C17*9000+D17*16500+E17*31500</f>
        <v>0</v>
      </c>
    </row>
    <row r="18" ht="15.75" customHeight="1">
      <c r="A18" s="44" t="s">
        <v>109</v>
      </c>
      <c r="B18" s="30">
        <f>'Enterprise Model'!B33</f>
        <v>1</v>
      </c>
      <c r="C18" s="30">
        <f>'Enterprise Model'!C33</f>
        <v>0</v>
      </c>
      <c r="D18" s="30">
        <f>'Enterprise Model'!D33</f>
        <v>0</v>
      </c>
      <c r="E18" s="30">
        <v>0.0</v>
      </c>
      <c r="F18" s="30">
        <f>'Greenfield Model'!B36</f>
        <v>2</v>
      </c>
      <c r="G18" s="30">
        <f>'Greenfield Model'!C36</f>
        <v>1</v>
      </c>
      <c r="H18" s="30">
        <f>'Greenfield Model'!D36</f>
        <v>0</v>
      </c>
      <c r="I18" s="45">
        <f t="shared" si="1"/>
        <v>4</v>
      </c>
      <c r="J18" s="35">
        <f t="shared" si="2"/>
        <v>10000</v>
      </c>
      <c r="K18" s="39">
        <f t="shared" si="3"/>
        <v>1500</v>
      </c>
    </row>
    <row r="19" ht="15.75" customHeight="1">
      <c r="A19" s="40" t="s">
        <v>110</v>
      </c>
      <c r="B19" s="30">
        <f>'Enterprise Model'!B34</f>
        <v>1</v>
      </c>
      <c r="C19" s="30">
        <f>'Enterprise Model'!C34</f>
        <v>0</v>
      </c>
      <c r="D19" s="30">
        <f>'Enterprise Model'!D34</f>
        <v>0</v>
      </c>
      <c r="E19" s="30">
        <f>'Enterprise Model'!E34</f>
        <v>0</v>
      </c>
      <c r="F19" s="30">
        <f>'Greenfield Model'!B37</f>
        <v>3</v>
      </c>
      <c r="G19" s="30">
        <f>'Greenfield Model'!C37</f>
        <v>1</v>
      </c>
      <c r="H19" s="30">
        <f>'Greenfield Model'!D37</f>
        <v>0</v>
      </c>
      <c r="I19" s="42">
        <f t="shared" si="1"/>
        <v>5</v>
      </c>
      <c r="J19" s="35">
        <f t="shared" si="2"/>
        <v>12500</v>
      </c>
      <c r="K19" s="34">
        <f t="shared" si="3"/>
        <v>1500</v>
      </c>
    </row>
    <row r="20" ht="15.75" customHeight="1">
      <c r="A20" s="44" t="s">
        <v>111</v>
      </c>
      <c r="B20" s="30">
        <f>'Enterprise Model'!B35</f>
        <v>2</v>
      </c>
      <c r="C20" s="30">
        <f>'Enterprise Model'!C35</f>
        <v>1</v>
      </c>
      <c r="D20" s="30">
        <f>'Enterprise Model'!D35</f>
        <v>0</v>
      </c>
      <c r="E20" s="30">
        <f>'Enterprise Model'!E35</f>
        <v>0</v>
      </c>
      <c r="F20" s="30">
        <f>'Greenfield Model'!B38</f>
        <v>3</v>
      </c>
      <c r="G20" s="30">
        <f>'Greenfield Model'!C38</f>
        <v>3</v>
      </c>
      <c r="H20" s="30">
        <f>'Greenfield Model'!D38</f>
        <v>1</v>
      </c>
      <c r="I20" s="45">
        <f t="shared" si="1"/>
        <v>10</v>
      </c>
      <c r="J20" s="35">
        <f t="shared" si="2"/>
        <v>35000</v>
      </c>
      <c r="K20" s="39">
        <f t="shared" si="3"/>
        <v>12000</v>
      </c>
    </row>
    <row r="21" ht="15.75" customHeight="1">
      <c r="A21" s="40" t="s">
        <v>112</v>
      </c>
      <c r="B21" s="30">
        <f>'Enterprise Model'!B36</f>
        <v>3</v>
      </c>
      <c r="C21" s="30">
        <f>'Enterprise Model'!C36</f>
        <v>2</v>
      </c>
      <c r="D21" s="30">
        <f>'Enterprise Model'!D36</f>
        <v>1</v>
      </c>
      <c r="E21" s="30">
        <f>'Enterprise Model'!E36</f>
        <v>0</v>
      </c>
      <c r="F21" s="30">
        <f>'Greenfield Model'!B39</f>
        <v>2</v>
      </c>
      <c r="G21" s="30">
        <f>'Greenfield Model'!C39</f>
        <v>5</v>
      </c>
      <c r="H21" s="30">
        <f>'Greenfield Model'!D39</f>
        <v>3</v>
      </c>
      <c r="I21" s="42">
        <f t="shared" si="1"/>
        <v>16</v>
      </c>
      <c r="J21" s="35">
        <f t="shared" si="2"/>
        <v>76500</v>
      </c>
      <c r="K21" s="34">
        <f t="shared" si="3"/>
        <v>39000</v>
      </c>
    </row>
    <row r="22" ht="15.75" customHeight="1">
      <c r="A22" s="44" t="s">
        <v>408</v>
      </c>
      <c r="B22" s="30">
        <f>'Enterprise Model'!B37</f>
        <v>4</v>
      </c>
      <c r="C22" s="30">
        <f>'Enterprise Model'!C37</f>
        <v>3</v>
      </c>
      <c r="D22" s="30">
        <f>'Enterprise Model'!D37</f>
        <v>2</v>
      </c>
      <c r="E22" s="30">
        <f>'Enterprise Model'!E37</f>
        <v>1</v>
      </c>
      <c r="F22" s="30" t="str">
        <f>'Greenfield Model'!B40</f>
        <v/>
      </c>
      <c r="G22" s="30" t="str">
        <f>'Greenfield Model'!C40</f>
        <v/>
      </c>
      <c r="H22" s="30" t="str">
        <f>'Greenfield Model'!D40</f>
        <v/>
      </c>
      <c r="I22" s="45">
        <f t="shared" si="1"/>
        <v>10</v>
      </c>
      <c r="J22" s="35">
        <f t="shared" si="2"/>
        <v>97500</v>
      </c>
      <c r="K22" s="39">
        <f t="shared" si="3"/>
        <v>97500</v>
      </c>
    </row>
    <row r="23" ht="15.75" customHeight="1">
      <c r="A23" s="40" t="s">
        <v>409</v>
      </c>
      <c r="B23" s="30" t="str">
        <f>'Enterprise Model'!B38</f>
        <v/>
      </c>
      <c r="C23" s="30" t="str">
        <f>'Enterprise Model'!C38</f>
        <v/>
      </c>
      <c r="D23" s="30" t="str">
        <f>'Enterprise Model'!D38</f>
        <v/>
      </c>
      <c r="E23" s="30" t="str">
        <f>'Enterprise Model'!E38</f>
        <v/>
      </c>
      <c r="F23" s="30" t="str">
        <f>'Greenfield Model'!B41</f>
        <v/>
      </c>
      <c r="G23" s="30" t="str">
        <f>'Greenfield Model'!C41</f>
        <v/>
      </c>
      <c r="H23" s="30" t="str">
        <f>'Greenfield Model'!D41</f>
        <v/>
      </c>
      <c r="I23" s="42">
        <f t="shared" si="1"/>
        <v>0</v>
      </c>
      <c r="J23" s="35">
        <f t="shared" si="2"/>
        <v>0</v>
      </c>
      <c r="K23" s="34">
        <f t="shared" si="3"/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K1"/>
    <mergeCell ref="A2:K2"/>
    <mergeCell ref="A4:K4"/>
    <mergeCell ref="A15:K15"/>
  </mergeCells>
  <printOptions/>
  <pageMargins bottom="1.0" footer="0.0" header="0.0" left="0.75" right="0.75" top="1.0"/>
  <pageSetup paperSize="9" orientation="portrait"/>
  <drawing r:id="rId1"/>
</worksheet>
</file>